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ance Sheet" sheetId="1" r:id="rId5"/>
    <sheet state="visible" name="January" sheetId="2" r:id="rId6"/>
    <sheet state="visible" name="February" sheetId="3" r:id="rId7"/>
    <sheet state="visible" name="March" sheetId="4" r:id="rId8"/>
    <sheet state="visible" name="April" sheetId="5" r:id="rId9"/>
    <sheet state="visible" name="May" sheetId="6" r:id="rId10"/>
    <sheet state="visible" name="June" sheetId="7" r:id="rId11"/>
    <sheet state="visible" name="July" sheetId="8" r:id="rId12"/>
    <sheet state="visible" name="August" sheetId="9" r:id="rId13"/>
    <sheet state="visible" name="September" sheetId="10" r:id="rId14"/>
    <sheet state="visible" name="October" sheetId="11" r:id="rId15"/>
    <sheet state="visible" name="November" sheetId="12" r:id="rId16"/>
    <sheet state="visible" name="December" sheetId="13" r:id="rId17"/>
    <sheet state="visible" name="Sheet23" sheetId="14" r:id="rId18"/>
    <sheet state="visible" name="Sheet19" sheetId="15" r:id="rId19"/>
    <sheet state="visible" name="Sheet20" sheetId="16" r:id="rId20"/>
    <sheet state="visible" name="Sheet21" sheetId="17" r:id="rId21"/>
    <sheet state="visible" name="Sheet22" sheetId="18" r:id="rId22"/>
    <sheet state="visible" name="Month-Year List" sheetId="19" r:id="rId2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tc={619dbdac-0af8-4cd7-aae4-e606f6585f1f}</author>
  </authors>
  <commentList>
    <comment authorId="0" xr:uid="{619dbdac-0af8-4cd7-aae4-e606f6585f1f}" ref="G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Reply:
	Marked as resolved
Reply:
	Re-opened
</t>
      </text>
    </comment>
  </commentList>
</comments>
</file>

<file path=xl/sharedStrings.xml><?xml version="1.0" encoding="utf-8"?>
<sst xmlns="http://schemas.openxmlformats.org/spreadsheetml/2006/main" count="677" uniqueCount="55">
  <si>
    <t>Month</t>
  </si>
  <si>
    <t>November</t>
  </si>
  <si>
    <t>Grade</t>
  </si>
  <si>
    <t>Student Name</t>
  </si>
  <si>
    <t>Present Count</t>
  </si>
  <si>
    <t>KG</t>
  </si>
  <si>
    <t>Ethan Renju</t>
  </si>
  <si>
    <t>Gia A. Tom</t>
  </si>
  <si>
    <t>1st</t>
  </si>
  <si>
    <t>Evan Starly</t>
  </si>
  <si>
    <t>Evana Mathew</t>
  </si>
  <si>
    <t>3rd</t>
  </si>
  <si>
    <t>Eileen M. Joe</t>
  </si>
  <si>
    <t>Riyana Rince</t>
  </si>
  <si>
    <t>4th</t>
  </si>
  <si>
    <t>Aaron Renju</t>
  </si>
  <si>
    <t>Ezekiel A.</t>
  </si>
  <si>
    <t>5th</t>
  </si>
  <si>
    <t>Andrea George</t>
  </si>
  <si>
    <t>Sarah Mathew</t>
  </si>
  <si>
    <t>6th</t>
  </si>
  <si>
    <t>Benjamin Shino</t>
  </si>
  <si>
    <t>Ethaniel A.</t>
  </si>
  <si>
    <t xml:space="preserve"> Joannah Vijay</t>
  </si>
  <si>
    <t>7th</t>
  </si>
  <si>
    <t>Daniel Jacob</t>
  </si>
  <si>
    <t>Ethan Starley</t>
  </si>
  <si>
    <t>8th</t>
  </si>
  <si>
    <t>Eliath A.</t>
  </si>
  <si>
    <t xml:space="preserve">Hannah Philip </t>
  </si>
  <si>
    <t>Hannah Rince</t>
  </si>
  <si>
    <t>9th</t>
  </si>
  <si>
    <t>Angel A.</t>
  </si>
  <si>
    <t>Eleora Joe</t>
  </si>
  <si>
    <t>10th</t>
  </si>
  <si>
    <t>Hannah V.</t>
  </si>
  <si>
    <t>11th</t>
  </si>
  <si>
    <t>Abel Jacob</t>
  </si>
  <si>
    <t>Jason Vijay</t>
  </si>
  <si>
    <t>January</t>
  </si>
  <si>
    <t>Ethanial A.</t>
  </si>
  <si>
    <t>February</t>
  </si>
  <si>
    <t>March</t>
  </si>
  <si>
    <t>April</t>
  </si>
  <si>
    <t>May</t>
  </si>
  <si>
    <t>June</t>
  </si>
  <si>
    <t>July</t>
  </si>
  <si>
    <t>August</t>
  </si>
  <si>
    <t>Present Counter</t>
  </si>
  <si>
    <t>September</t>
  </si>
  <si>
    <t>October</t>
  </si>
  <si>
    <t>Ethan Starly</t>
  </si>
  <si>
    <t xml:space="preserve">Eliath A </t>
  </si>
  <si>
    <t>December</t>
  </si>
  <si>
    <t>Year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</si>
</sst>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9]d/mmm"/>
  </numFmts>
  <fonts count="15">
    <font>
      <sz val="11.0"/>
      <color theme="1"/>
      <name val="Calibri"/>
      <scheme val="minor"/>
    </font>
    <font>
      <b/>
      <sz val="24.0"/>
      <color theme="0"/>
      <name val="Avenir"/>
    </font>
    <font/>
    <font>
      <sz val="11.0"/>
      <color theme="1"/>
      <name val="Calibri"/>
    </font>
    <font>
      <sz val="10.0"/>
      <color theme="1"/>
      <name val="Calibri"/>
    </font>
    <font>
      <u/>
      <sz val="10.0"/>
      <color theme="1"/>
      <name val="Calibri"/>
    </font>
    <font>
      <sz val="12.0"/>
      <color rgb="FFFFFFFF"/>
      <name val="Calibri"/>
    </font>
    <font>
      <color theme="1"/>
      <name val="Calibri"/>
      <scheme val="minor"/>
    </font>
    <font>
      <b/>
      <sz val="10.0"/>
      <color rgb="FFFFFFFF"/>
      <name val="Calibri"/>
    </font>
    <font>
      <b/>
      <sz val="10.0"/>
      <color theme="0"/>
      <name val="Calibri"/>
    </font>
    <font>
      <b/>
      <color theme="1"/>
      <name val="Calibri"/>
      <scheme val="minor"/>
    </font>
    <font>
      <color theme="1"/>
      <name val="Calibri"/>
    </font>
    <font>
      <b/>
      <sz val="10.0"/>
      <color theme="1"/>
      <name val="Calibri"/>
    </font>
    <font>
      <b/>
      <sz val="11.0"/>
      <color theme="1"/>
      <name val="Calibri"/>
    </font>
    <font>
      <sz val="10.0"/>
      <color rgb="FF000000"/>
      <name val="Calibri"/>
    </font>
  </fonts>
  <fills count="13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BFBFBF"/>
        <bgColor rgb="FFBFBFBF"/>
      </patternFill>
    </fill>
    <fill>
      <patternFill patternType="solid">
        <fgColor rgb="FF2F5496"/>
        <bgColor rgb="FF2F5496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B4C6E7"/>
        <bgColor rgb="FFB4C6E7"/>
      </patternFill>
    </fill>
    <fill>
      <patternFill patternType="solid">
        <fgColor rgb="FFD9EAD3"/>
        <bgColor rgb="FFD9EAD3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rgb="FF9FC5E8"/>
        <bgColor rgb="FF9FC5E8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 style="medium">
        <color theme="4"/>
      </left>
      <top style="medium">
        <color theme="4"/>
      </top>
      <bottom style="medium">
        <color theme="4"/>
      </bottom>
    </border>
    <border>
      <top style="medium">
        <color theme="4"/>
      </top>
      <bottom style="medium">
        <color theme="4"/>
      </bottom>
    </border>
    <border>
      <right style="medium">
        <color theme="4"/>
      </right>
      <top style="medium">
        <color theme="4"/>
      </top>
      <bottom style="medium">
        <color theme="4"/>
      </bottom>
    </border>
    <border>
      <left style="medium">
        <color rgb="FFB4C6E7"/>
      </left>
      <right style="medium">
        <color rgb="FFB4C6E7"/>
      </right>
      <top style="medium">
        <color rgb="FFB4C6E7"/>
      </top>
      <bottom style="medium">
        <color rgb="FFB4C6E7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B4C6E7"/>
      </left>
      <right style="medium">
        <color rgb="FFB4C6E7"/>
      </right>
      <bottom style="medium">
        <color rgb="FFB4C6E7"/>
      </bottom>
    </border>
    <border>
      <left style="medium">
        <color rgb="FFB4C6E7"/>
      </left>
      <top style="medium">
        <color rgb="FFB4C6E7"/>
      </top>
      <bottom style="medium">
        <color rgb="FFB4C6E7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4" numFmtId="14" xfId="0" applyAlignment="1" applyFont="1" applyNumberFormat="1">
      <alignment horizontal="center" vertical="center"/>
    </xf>
    <xf borderId="4" fillId="3" fontId="4" numFmtId="0" xfId="0" applyAlignment="1" applyBorder="1" applyFill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4" fillId="4" fontId="6" numFmtId="0" xfId="0" applyAlignment="1" applyBorder="1" applyFill="1" applyFont="1">
      <alignment horizontal="center" readingOrder="0" vertical="center"/>
    </xf>
    <xf borderId="0" fillId="0" fontId="7" numFmtId="0" xfId="0" applyFont="1"/>
    <xf borderId="7" fillId="4" fontId="8" numFmtId="0" xfId="0" applyAlignment="1" applyBorder="1" applyFont="1">
      <alignment horizontal="center" vertical="center"/>
    </xf>
    <xf borderId="7" fillId="4" fontId="9" numFmtId="0" xfId="0" applyAlignment="1" applyBorder="1" applyFont="1">
      <alignment horizontal="center" vertical="center"/>
    </xf>
    <xf borderId="8" fillId="5" fontId="10" numFmtId="0" xfId="0" applyAlignment="1" applyBorder="1" applyFill="1" applyFont="1">
      <alignment horizontal="center" vertical="center"/>
    </xf>
    <xf borderId="8" fillId="6" fontId="10" numFmtId="0" xfId="0" applyAlignment="1" applyBorder="1" applyFill="1" applyFont="1">
      <alignment horizontal="center" readingOrder="0" vertical="center"/>
    </xf>
    <xf borderId="9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vertical="center"/>
    </xf>
    <xf borderId="8" fillId="6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center" vertical="center"/>
    </xf>
    <xf borderId="8" fillId="0" fontId="7" numFmtId="0" xfId="0" applyAlignment="1" applyBorder="1" applyFont="1">
      <alignment readingOrder="0"/>
    </xf>
    <xf borderId="8" fillId="0" fontId="7" numFmtId="0" xfId="0" applyBorder="1" applyFont="1"/>
    <xf borderId="10" fillId="0" fontId="4" numFmtId="0" xfId="0" applyAlignment="1" applyBorder="1" applyFont="1">
      <alignment horizontal="center" readingOrder="0" vertical="center"/>
    </xf>
    <xf borderId="7" fillId="0" fontId="4" numFmtId="0" xfId="0" applyAlignment="1" applyBorder="1" applyFont="1">
      <alignment horizontal="center" readingOrder="0" vertical="center"/>
    </xf>
    <xf borderId="7" fillId="0" fontId="11" numFmtId="0" xfId="0" applyAlignment="1" applyBorder="1" applyFont="1">
      <alignment horizontal="center"/>
    </xf>
    <xf borderId="0" fillId="0" fontId="3" numFmtId="0" xfId="0" applyAlignment="1" applyFont="1">
      <alignment vertical="bottom"/>
    </xf>
    <xf borderId="8" fillId="0" fontId="3" numFmtId="0" xfId="0" applyAlignment="1" applyBorder="1" applyFont="1">
      <alignment horizontal="center" vertical="center"/>
    </xf>
    <xf borderId="8" fillId="6" fontId="3" numFmtId="0" xfId="0" applyAlignment="1" applyBorder="1" applyFont="1">
      <alignment horizontal="center" vertical="center"/>
    </xf>
    <xf borderId="4" fillId="4" fontId="6" numFmtId="0" xfId="0" applyAlignment="1" applyBorder="1" applyFont="1">
      <alignment horizontal="center" vertical="center"/>
    </xf>
    <xf borderId="8" fillId="0" fontId="10" numFmtId="0" xfId="0" applyAlignment="1" applyBorder="1" applyFont="1">
      <alignment horizontal="center" vertical="center"/>
    </xf>
    <xf borderId="0" fillId="0" fontId="4" numFmtId="164" xfId="0" applyAlignment="1" applyFont="1" applyNumberFormat="1">
      <alignment horizontal="center" textRotation="90" vertical="center"/>
    </xf>
    <xf borderId="8" fillId="7" fontId="12" numFmtId="164" xfId="0" applyAlignment="1" applyBorder="1" applyFill="1" applyFont="1" applyNumberFormat="1">
      <alignment horizontal="center" vertical="center"/>
    </xf>
    <xf borderId="7" fillId="0" fontId="4" numFmtId="0" xfId="0" applyAlignment="1" applyBorder="1" applyFont="1">
      <alignment horizontal="center" vertical="center"/>
    </xf>
    <xf borderId="7" fillId="0" fontId="11" numFmtId="0" xfId="0" applyAlignment="1" applyBorder="1" applyFont="1">
      <alignment horizontal="center"/>
    </xf>
    <xf borderId="8" fillId="0" fontId="3" numFmtId="0" xfId="0" applyAlignment="1" applyBorder="1" applyFont="1">
      <alignment horizontal="center" readingOrder="0" vertical="center"/>
    </xf>
    <xf borderId="8" fillId="8" fontId="10" numFmtId="0" xfId="0" applyAlignment="1" applyBorder="1" applyFill="1" applyFont="1">
      <alignment horizontal="center" readingOrder="0" vertical="center"/>
    </xf>
    <xf borderId="7" fillId="9" fontId="4" numFmtId="0" xfId="0" applyAlignment="1" applyBorder="1" applyFill="1" applyFont="1">
      <alignment horizontal="center" vertical="center"/>
    </xf>
    <xf borderId="8" fillId="8" fontId="4" numFmtId="0" xfId="0" applyAlignment="1" applyBorder="1" applyFont="1">
      <alignment horizontal="center" vertical="center"/>
    </xf>
    <xf borderId="7" fillId="10" fontId="4" numFmtId="0" xfId="0" applyAlignment="1" applyBorder="1" applyFill="1" applyFont="1">
      <alignment horizontal="center" vertical="center"/>
    </xf>
    <xf borderId="7" fillId="11" fontId="4" numFmtId="0" xfId="0" applyAlignment="1" applyBorder="1" applyFill="1" applyFont="1">
      <alignment horizontal="center" vertical="center"/>
    </xf>
    <xf borderId="7" fillId="11" fontId="11" numFmtId="0" xfId="0" applyAlignment="1" applyBorder="1" applyFont="1">
      <alignment horizontal="center"/>
    </xf>
    <xf borderId="8" fillId="8" fontId="3" numFmtId="0" xfId="0" applyAlignment="1" applyBorder="1" applyFont="1">
      <alignment horizontal="center" vertical="center"/>
    </xf>
    <xf borderId="7" fillId="4" fontId="8" numFmtId="0" xfId="0" applyAlignment="1" applyBorder="1" applyFont="1">
      <alignment horizontal="center" readingOrder="0" vertical="center"/>
    </xf>
    <xf borderId="8" fillId="12" fontId="10" numFmtId="0" xfId="0" applyAlignment="1" applyBorder="1" applyFill="1" applyFont="1">
      <alignment horizontal="center" vertical="center"/>
    </xf>
    <xf borderId="8" fillId="10" fontId="4" numFmtId="0" xfId="0" applyAlignment="1" applyBorder="1" applyFont="1">
      <alignment horizontal="center" readingOrder="0" vertical="center"/>
    </xf>
    <xf borderId="8" fillId="0" fontId="12" numFmtId="0" xfId="0" applyAlignment="1" applyBorder="1" applyFont="1">
      <alignment horizontal="center" readingOrder="0" vertical="center"/>
    </xf>
    <xf borderId="11" fillId="8" fontId="4" numFmtId="0" xfId="0" applyAlignment="1" applyBorder="1" applyFont="1">
      <alignment horizontal="center" vertical="center"/>
    </xf>
    <xf borderId="7" fillId="10" fontId="12" numFmtId="0" xfId="0" applyAlignment="1" applyBorder="1" applyFont="1">
      <alignment horizontal="center" vertical="center"/>
    </xf>
    <xf borderId="0" fillId="0" fontId="13" numFmtId="0" xfId="0" applyFont="1"/>
    <xf borderId="8" fillId="0" fontId="12" numFmtId="0" xfId="0" applyAlignment="1" applyBorder="1" applyFont="1">
      <alignment horizontal="center" vertical="center"/>
    </xf>
    <xf borderId="11" fillId="8" fontId="12" numFmtId="0" xfId="0" applyAlignment="1" applyBorder="1" applyFont="1">
      <alignment horizontal="center" vertical="center"/>
    </xf>
    <xf borderId="8" fillId="10" fontId="14" numFmtId="0" xfId="0" applyAlignment="1" applyBorder="1" applyFont="1">
      <alignment horizontal="center" readingOrder="0" vertical="center"/>
    </xf>
    <xf borderId="8" fillId="8" fontId="12" numFmtId="0" xfId="0" applyAlignment="1" applyBorder="1" applyFont="1">
      <alignment horizontal="center" readingOrder="0" vertical="center"/>
    </xf>
    <xf borderId="0" fillId="0" fontId="12" numFmtId="0" xfId="0" applyAlignment="1" applyFont="1">
      <alignment horizontal="center" readingOrder="0" vertical="center"/>
    </xf>
    <xf borderId="7" fillId="11" fontId="4" numFmtId="0" xfId="0" applyAlignment="1" applyBorder="1" applyFont="1">
      <alignment horizontal="center" readingOrder="0" vertical="center"/>
    </xf>
    <xf borderId="8" fillId="0" fontId="12" numFmtId="0" xfId="0" applyAlignment="1" applyBorder="1" applyFont="1">
      <alignment horizontal="left" readingOrder="0" vertical="center"/>
    </xf>
    <xf borderId="0" fillId="0" fontId="13" numFmtId="0" xfId="0" applyAlignment="1" applyFont="1">
      <alignment vertical="bottom"/>
    </xf>
    <xf borderId="12" fillId="7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</dxfs>
  <tableStyles count="3">
    <tableStyle count="3" pivot="0" name="Attendance Sheet-style">
      <tableStyleElement dxfId="1" type="headerRow"/>
      <tableStyleElement dxfId="1" type="firstRowStripe"/>
      <tableStyleElement dxfId="1" type="secondRowStripe"/>
    </tableStyle>
    <tableStyle count="3" pivot="0" name="Attendance Sheet-style 2">
      <tableStyleElement dxfId="2" type="headerRow"/>
      <tableStyleElement dxfId="2" type="firstRowStripe"/>
      <tableStyleElement dxfId="2" type="secondRowStripe"/>
    </tableStyle>
    <tableStyle count="3" pivot="0" name="Attendance Sheet-style 3">
      <tableStyleElement dxfId="3" type="headerRow"/>
      <tableStyleElement dxfId="3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oel Jacob" id="{b51b4a06-501f-4da8-8f01-3e48239c4e2f}" providerId="google-sheets"/>
</x18tc:personList>
</file>

<file path=xl/tables/table1.xml><?xml version="1.0" encoding="utf-8"?>
<table xmlns="http://schemas.openxmlformats.org/spreadsheetml/2006/main" ref="A5:B10" displayName="Table_1" name="Table_1" id="1">
  <tableColumns count="2">
    <tableColumn name="KG" id="1"/>
    <tableColumn name="Ethan Renju" id="2"/>
  </tableColumns>
  <tableStyleInfo name="Attendance Sheet-style" showColumnStripes="0" showFirstColumn="1" showLastColumn="1" showRowStripes="1"/>
</table>
</file>

<file path=xl/tables/table2.xml><?xml version="1.0" encoding="utf-8"?>
<table xmlns="http://schemas.openxmlformats.org/spreadsheetml/2006/main" ref="A11:B19" displayName="Table_2" name="Table_2" id="2">
  <tableColumns count="2">
    <tableColumn name="4th" id="1"/>
    <tableColumn name="Aaron Renju" id="2"/>
  </tableColumns>
  <tableStyleInfo name="Attendance Sheet-style 2" showColumnStripes="0" showFirstColumn="1" showLastColumn="1" showRowStripes="1"/>
</table>
</file>

<file path=xl/tables/table3.xml><?xml version="1.0" encoding="utf-8"?>
<table xmlns="http://schemas.openxmlformats.org/spreadsheetml/2006/main" ref="A20:B27" displayName="Table_3" name="Table_3" id="3">
  <tableColumns count="2">
    <tableColumn name="8th" id="1"/>
    <tableColumn name="Eliath A." id="2"/>
  </tableColumns>
  <tableStyleInfo name="Attendance Sheet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14" dT="2025-12-08T05:37:00.00" personId="{b51b4a06-501f-4da8-8f01-3e48239c4e2f}" id="{619dbdac-0af8-4cd7-aae4-e606f6585f1f}" done="1">
    <x18tc:text xml:space="preserve">1</x18tc:text>
  </x18tc:threadedComment>
  <x18tc:threadedComment ref="G14" dT="2025-12-08T05:37:08.00" personId="{b51b4a06-501f-4da8-8f01-3e48239c4e2f}" id="{67760ee4-1857-44de-9da5-140932d63b14}" parentId="{619dbdac-0af8-4cd7-aae4-e606f6585f1f}">
    <x18tc:text xml:space="preserve">Marked as resolved</x18tc:text>
  </x18tc:threadedComment>
  <x18tc:threadedComment ref="G14" dT="2025-12-08T05:37:12.00" personId="{b51b4a06-501f-4da8-8f01-3e48239c4e2f}" id="{fbfbae87-ebcb-480e-92b8-700469bd888b}" parentId="{619dbdac-0af8-4cd7-aae4-e606f6585f1f}">
    <x18tc:text xml:space="preserve">Re-opened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9" Type="http://schemas.openxmlformats.org/officeDocument/2006/relationships/table" Target="../tables/table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22.0"/>
    <col customWidth="1" min="3" max="3" width="10.0"/>
    <col customWidth="1" min="4" max="15" width="16.0"/>
  </cols>
  <sheetData>
    <row r="1" ht="36.0" customHeight="1">
      <c r="A1" s="1" t="str">
        <f>"Attendance Sheet for "&amp;G3&amp;" - "&amp;O3&amp;""</f>
        <v>Attendance Sheet for November - 2025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/>
      <c r="B2" s="5"/>
      <c r="C2" s="5"/>
      <c r="D2" s="5"/>
      <c r="E2" s="5"/>
      <c r="F2" s="5"/>
      <c r="G2" s="5"/>
      <c r="H2" s="5"/>
      <c r="I2" s="5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0.0" customHeight="1">
      <c r="A3" s="6"/>
      <c r="B3" s="7" t="str">
        <f>HYPERLINK("#'"&amp;$G$3&amp;"'!A1","Go to selected month →")</f>
        <v>Go to selected month →</v>
      </c>
      <c r="C3" s="8">
        <f>DATE(2025, MATCH($G$3, 'Month-Year List'!$A$2:$A$13, 0), 1)+ MOD(1 - WEEKDAY(DATE(2025, MATCH($G$3, 'Month-Year List'!$A$2:$A$13, 0), 1), 1), 7)</f>
        <v>45963</v>
      </c>
      <c r="D3" s="9" t="s">
        <v>0</v>
      </c>
      <c r="E3" s="10"/>
      <c r="F3" s="11"/>
      <c r="G3" s="12" t="s">
        <v>1</v>
      </c>
      <c r="H3" s="10"/>
      <c r="I3" s="11"/>
      <c r="J3" s="4"/>
      <c r="K3" s="4"/>
      <c r="L3" s="4"/>
      <c r="O3" s="13">
        <v>2025.0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14" t="s">
        <v>2</v>
      </c>
      <c r="B4" s="15" t="s">
        <v>3</v>
      </c>
      <c r="C4" s="5"/>
      <c r="D4" s="16" t="str">
        <f>LET( mo, MATCH($G$3,'Month-Year List'!$A$2:$A$13,0), first, $C$3, dt, first + 7*(COLUMNS($D4:D4)-1), IF(MONTH(dt)=mo, TEXT(dt,"ddd, mmm d"), ""))</f>
        <v>Sun, Nov 2</v>
      </c>
      <c r="E4" s="16" t="str">
        <f>LET( mo, MATCH($G$3,'Month-Year List'!$A$2:$A$13,0), first, $C$3, dt, first + 7*(COLUMNS($D4:E4)-1), IF(MONTH(dt)=mo, TEXT(dt,"ddd, mmm d"), ""))</f>
        <v>Sun, Nov 9</v>
      </c>
      <c r="F4" s="16" t="str">
        <f>LET( mo, MATCH($G$3,'Month-Year List'!$A$2:$A$13,0), first, $C$3, dt, first + 7*(COLUMNS($D4:F4)-1), IF(MONTH(dt)=mo, TEXT(dt,"ddd, mmm d"), ""))</f>
        <v>Sun, Nov 16</v>
      </c>
      <c r="G4" s="16" t="str">
        <f>LET( mo, MATCH($G$3,'Month-Year List'!$A$2:$A$13,0), first, $C$3, dt, first + 7*(COLUMNS($D4:G4)-1), IF(MONTH(dt)=mo, TEXT(dt,"ddd, mmm d"), ""))</f>
        <v>Sun, Nov 23</v>
      </c>
      <c r="H4" s="16" t="str">
        <f>LET( mo, MATCH($G$3,'Month-Year List'!$A$2:$A$13,0), first, $C$3, dt, first + 7*(COLUMNS($D4:H4)-1), IF(MONTH(dt)=mo, TEXT(dt,"ddd, mmm d"), ""))</f>
        <v>Sun, Nov 30</v>
      </c>
      <c r="I4" s="17" t="s">
        <v>4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75" customHeight="1">
      <c r="A5" s="18" t="s">
        <v>5</v>
      </c>
      <c r="B5" s="18" t="s">
        <v>6</v>
      </c>
      <c r="C5" s="4"/>
      <c r="D5" s="19"/>
      <c r="E5" s="20">
        <f t="shared" ref="E5:H5" si="1">INDIRECT("'" &amp; $G$3 &amp; "'!" &amp; ADDRESS(ROW(), COLUMN(), 4))</f>
        <v>1</v>
      </c>
      <c r="F5" s="20">
        <f t="shared" si="1"/>
        <v>1</v>
      </c>
      <c r="G5" s="20" t="str">
        <f t="shared" si="1"/>
        <v/>
      </c>
      <c r="H5" s="20" t="str">
        <f t="shared" si="1"/>
        <v/>
      </c>
      <c r="I5" s="21">
        <f t="shared" ref="I5:I27" si="3">COUNTIF(D5:H5,1)</f>
        <v>2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75" customHeight="1">
      <c r="A6" s="22" t="s">
        <v>5</v>
      </c>
      <c r="B6" s="22" t="s">
        <v>7</v>
      </c>
      <c r="C6" s="4"/>
      <c r="D6" s="19"/>
      <c r="E6" s="20">
        <f t="shared" ref="E6:H6" si="2">INDIRECT("'" &amp; $G$3 &amp; "'!" &amp; ADDRESS(ROW(), COLUMN(), 4))</f>
        <v>1</v>
      </c>
      <c r="F6" s="20">
        <f t="shared" si="2"/>
        <v>1</v>
      </c>
      <c r="G6" s="20" t="str">
        <f t="shared" si="2"/>
        <v/>
      </c>
      <c r="H6" s="20" t="str">
        <f t="shared" si="2"/>
        <v/>
      </c>
      <c r="I6" s="21">
        <f t="shared" si="3"/>
        <v>2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75" customHeight="1">
      <c r="A7" s="22" t="s">
        <v>8</v>
      </c>
      <c r="B7" s="22" t="s">
        <v>9</v>
      </c>
      <c r="C7" s="4"/>
      <c r="D7" s="19">
        <v>1.0</v>
      </c>
      <c r="E7" s="20">
        <f t="shared" ref="E7:H7" si="4">INDIRECT("'" &amp; $G$3 &amp; "'!" &amp; ADDRESS(ROW(), COLUMN(), 4))</f>
        <v>1</v>
      </c>
      <c r="F7" s="20">
        <f t="shared" si="4"/>
        <v>1</v>
      </c>
      <c r="G7" s="20">
        <f t="shared" si="4"/>
        <v>1</v>
      </c>
      <c r="H7" s="20">
        <f t="shared" si="4"/>
        <v>1</v>
      </c>
      <c r="I7" s="21">
        <f t="shared" si="3"/>
        <v>5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75" customHeight="1">
      <c r="A8" s="22" t="s">
        <v>8</v>
      </c>
      <c r="B8" s="22" t="s">
        <v>10</v>
      </c>
      <c r="C8" s="4"/>
      <c r="D8" s="20">
        <f t="shared" ref="D8:E8" si="5">INDIRECT("'" &amp; $G$3 &amp; "'!" &amp; ADDRESS(ROW(), COLUMN(), 4))</f>
        <v>1</v>
      </c>
      <c r="E8" s="20">
        <f t="shared" si="5"/>
        <v>1</v>
      </c>
      <c r="F8" s="20"/>
      <c r="G8" s="20">
        <f t="array" ref="G8">INDIRECT("'" &amp; $G$3 &amp; "'!" &amp; ADDRESS(ROW(), COLUMN(), 4))</f>
        <v>1</v>
      </c>
      <c r="H8" s="19">
        <v>0.0</v>
      </c>
      <c r="I8" s="21">
        <f t="shared" si="3"/>
        <v>3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75" customHeight="1">
      <c r="A9" s="22" t="s">
        <v>11</v>
      </c>
      <c r="B9" s="23" t="s">
        <v>12</v>
      </c>
      <c r="C9" s="4"/>
      <c r="D9" s="19">
        <v>0.0</v>
      </c>
      <c r="E9" s="19">
        <v>1.0</v>
      </c>
      <c r="F9" s="19">
        <v>0.0</v>
      </c>
      <c r="G9" s="19">
        <v>1.0</v>
      </c>
      <c r="H9" s="19">
        <v>0.0</v>
      </c>
      <c r="I9" s="21">
        <f t="shared" si="3"/>
        <v>2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75" customHeight="1">
      <c r="A10" s="22" t="s">
        <v>11</v>
      </c>
      <c r="B10" s="23" t="s">
        <v>13</v>
      </c>
      <c r="C10" s="4"/>
      <c r="D10" s="24">
        <v>1.0</v>
      </c>
      <c r="E10" s="19">
        <v>0.0</v>
      </c>
      <c r="F10" s="19">
        <v>0.0</v>
      </c>
      <c r="G10" s="19">
        <v>0.0</v>
      </c>
      <c r="H10" s="19">
        <v>0.0</v>
      </c>
      <c r="I10" s="21">
        <f t="shared" si="3"/>
        <v>1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75" customHeight="1">
      <c r="A11" s="22" t="s">
        <v>14</v>
      </c>
      <c r="B11" s="23" t="s">
        <v>15</v>
      </c>
      <c r="C11" s="4"/>
      <c r="D11" s="25"/>
      <c r="E11" s="19"/>
      <c r="F11" s="19"/>
      <c r="G11" s="19"/>
      <c r="H11" s="19"/>
      <c r="I11" s="21">
        <f t="shared" si="3"/>
        <v>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75" customHeight="1">
      <c r="A12" s="22" t="s">
        <v>14</v>
      </c>
      <c r="B12" s="26" t="s">
        <v>16</v>
      </c>
      <c r="C12" s="4"/>
      <c r="D12" s="24">
        <v>1.0</v>
      </c>
      <c r="E12" s="19">
        <v>1.0</v>
      </c>
      <c r="F12" s="19">
        <v>1.0</v>
      </c>
      <c r="G12" s="19">
        <v>1.0</v>
      </c>
      <c r="I12" s="21">
        <f t="shared" si="3"/>
        <v>4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75" customHeight="1">
      <c r="A13" s="22" t="s">
        <v>17</v>
      </c>
      <c r="B13" s="23" t="s">
        <v>18</v>
      </c>
      <c r="C13" s="4"/>
      <c r="D13" s="25"/>
      <c r="E13" s="20">
        <f t="shared" ref="E13:G13" si="6">INDIRECT("'" &amp; $G$3 &amp; "'!" &amp; ADDRESS(ROW(), COLUMN(), 4))</f>
        <v>1</v>
      </c>
      <c r="F13" s="20">
        <f t="shared" si="6"/>
        <v>1</v>
      </c>
      <c r="G13" s="20" t="str">
        <f t="shared" si="6"/>
        <v/>
      </c>
      <c r="H13" s="20"/>
      <c r="I13" s="21">
        <f t="shared" si="3"/>
        <v>2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75" customHeight="1">
      <c r="A14" s="22" t="s">
        <v>17</v>
      </c>
      <c r="B14" s="22" t="s">
        <v>19</v>
      </c>
      <c r="C14" s="4"/>
      <c r="D14" s="20" t="str">
        <f t="shared" ref="D14:G14" si="7">INDIRECT("'" &amp; $G$3 &amp; "'!" &amp; ADDRESS(ROW(), COLUMN(), 4))</f>
        <v/>
      </c>
      <c r="E14" s="20">
        <f t="shared" si="7"/>
        <v>1</v>
      </c>
      <c r="F14" s="20">
        <f t="shared" si="7"/>
        <v>1</v>
      </c>
      <c r="G14" s="20" t="str">
        <f t="shared" si="7"/>
        <v/>
      </c>
      <c r="H14" s="19">
        <v>1.0</v>
      </c>
      <c r="I14" s="21">
        <f t="shared" si="3"/>
        <v>3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75" customHeight="1">
      <c r="A15" s="22" t="s">
        <v>20</v>
      </c>
      <c r="B15" s="22" t="s">
        <v>21</v>
      </c>
      <c r="C15" s="4"/>
      <c r="D15" s="20" t="str">
        <f t="shared" ref="D15:G15" si="8">INDIRECT("'" &amp; $G$3 &amp; "'!" &amp; ADDRESS(ROW(), COLUMN(), 4))</f>
        <v/>
      </c>
      <c r="E15" s="20">
        <f t="shared" si="8"/>
        <v>1</v>
      </c>
      <c r="F15" s="20">
        <f t="shared" si="8"/>
        <v>1</v>
      </c>
      <c r="G15" s="20" t="str">
        <f t="shared" si="8"/>
        <v/>
      </c>
      <c r="H15" s="19">
        <v>1.0</v>
      </c>
      <c r="I15" s="21">
        <f t="shared" si="3"/>
        <v>3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75" customHeight="1">
      <c r="A16" s="22" t="s">
        <v>20</v>
      </c>
      <c r="B16" s="27" t="s">
        <v>22</v>
      </c>
      <c r="C16" s="4"/>
      <c r="D16" s="20">
        <f t="shared" ref="D16:F16" si="9">INDIRECT("'" &amp; $G$3 &amp; "'!" &amp; ADDRESS(ROW(), COLUMN(), 4))</f>
        <v>1</v>
      </c>
      <c r="E16" s="20">
        <f t="shared" si="9"/>
        <v>1</v>
      </c>
      <c r="F16" s="20">
        <f t="shared" si="9"/>
        <v>1</v>
      </c>
      <c r="G16" s="19">
        <v>1.0</v>
      </c>
      <c r="H16" s="20" t="str">
        <f t="array" ref="H16">INDIRECT("'" &amp; $G$3 &amp; "'!" &amp; ADDRESS(ROW(), COLUMN(), 4))</f>
        <v/>
      </c>
      <c r="I16" s="21">
        <f t="shared" si="3"/>
        <v>4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75" customHeight="1">
      <c r="A17" s="22" t="s">
        <v>20</v>
      </c>
      <c r="B17" s="22" t="s">
        <v>23</v>
      </c>
      <c r="C17" s="4"/>
      <c r="D17" s="20">
        <f t="shared" ref="D17:H17" si="10">INDIRECT("'" &amp; $G$3 &amp; "'!" &amp; ADDRESS(ROW(), COLUMN(), 4))</f>
        <v>1</v>
      </c>
      <c r="E17" s="20">
        <f t="shared" si="10"/>
        <v>1</v>
      </c>
      <c r="F17" s="20">
        <f t="shared" si="10"/>
        <v>1</v>
      </c>
      <c r="G17" s="20" t="str">
        <f t="shared" si="10"/>
        <v/>
      </c>
      <c r="H17" s="20" t="str">
        <f t="shared" si="10"/>
        <v/>
      </c>
      <c r="I17" s="21">
        <f t="shared" si="3"/>
        <v>3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75" customHeight="1">
      <c r="A18" s="22" t="s">
        <v>24</v>
      </c>
      <c r="B18" s="22" t="s">
        <v>25</v>
      </c>
      <c r="C18" s="4"/>
      <c r="D18" s="20">
        <f t="shared" ref="D18:H18" si="11">INDIRECT("'" &amp; $G$3 &amp; "'!" &amp; ADDRESS(ROW(), COLUMN(), 4))</f>
        <v>1</v>
      </c>
      <c r="E18" s="20">
        <f t="shared" si="11"/>
        <v>1</v>
      </c>
      <c r="F18" s="20">
        <f t="shared" si="11"/>
        <v>1</v>
      </c>
      <c r="G18" s="20" t="str">
        <f t="shared" si="11"/>
        <v/>
      </c>
      <c r="H18" s="20" t="str">
        <f t="shared" si="11"/>
        <v/>
      </c>
      <c r="I18" s="21">
        <f t="shared" si="3"/>
        <v>3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75" customHeight="1">
      <c r="A19" s="22" t="s">
        <v>24</v>
      </c>
      <c r="B19" s="22" t="s">
        <v>26</v>
      </c>
      <c r="C19" s="4"/>
      <c r="D19" s="20">
        <f t="shared" ref="D19:H19" si="12">INDIRECT("'" &amp; $G$3 &amp; "'!" &amp; ADDRESS(ROW(), COLUMN(), 4))</f>
        <v>1</v>
      </c>
      <c r="E19" s="20">
        <f t="shared" si="12"/>
        <v>0</v>
      </c>
      <c r="F19" s="20">
        <f t="shared" si="12"/>
        <v>1</v>
      </c>
      <c r="G19" s="20" t="str">
        <f t="shared" si="12"/>
        <v/>
      </c>
      <c r="H19" s="20" t="str">
        <f t="shared" si="12"/>
        <v/>
      </c>
      <c r="I19" s="21">
        <f t="shared" si="3"/>
        <v>2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75" customHeight="1">
      <c r="A20" s="22" t="s">
        <v>27</v>
      </c>
      <c r="B20" s="22" t="s">
        <v>28</v>
      </c>
      <c r="C20" s="4"/>
      <c r="D20" s="20">
        <f t="shared" ref="D20:F20" si="13">INDIRECT("'" &amp; $G$3 &amp; "'!" &amp; ADDRESS(ROW(), COLUMN(), 4))</f>
        <v>1</v>
      </c>
      <c r="E20" s="20">
        <f t="shared" si="13"/>
        <v>1</v>
      </c>
      <c r="F20" s="20">
        <f t="shared" si="13"/>
        <v>1</v>
      </c>
      <c r="G20" s="19">
        <v>1.0</v>
      </c>
      <c r="H20" s="20" t="str">
        <f t="shared" ref="H20:H21" si="15">INDIRECT("'" &amp; $G$3 &amp; "'!" &amp; ADDRESS(ROW(), COLUMN(), 4))</f>
        <v/>
      </c>
      <c r="I20" s="21">
        <f t="shared" si="3"/>
        <v>4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75" customHeight="1">
      <c r="A21" s="22" t="s">
        <v>27</v>
      </c>
      <c r="B21" s="22" t="s">
        <v>29</v>
      </c>
      <c r="C21" s="4"/>
      <c r="D21" s="20">
        <f t="shared" ref="D21:F21" si="14">INDIRECT("'" &amp; $G$3 &amp; "'!" &amp; ADDRESS(ROW(), COLUMN(), 4))</f>
        <v>1</v>
      </c>
      <c r="E21" s="20">
        <f t="shared" si="14"/>
        <v>1</v>
      </c>
      <c r="F21" s="20">
        <f t="shared" si="14"/>
        <v>1</v>
      </c>
      <c r="G21" s="19">
        <v>1.0</v>
      </c>
      <c r="H21" s="20" t="str">
        <f t="shared" si="15"/>
        <v/>
      </c>
      <c r="I21" s="21">
        <f t="shared" si="3"/>
        <v>4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75" customHeight="1">
      <c r="A22" s="22" t="s">
        <v>27</v>
      </c>
      <c r="B22" s="22" t="s">
        <v>30</v>
      </c>
      <c r="C22" s="4"/>
      <c r="D22" s="20">
        <f t="shared" ref="D22:H22" si="16">INDIRECT("'" &amp; $G$3 &amp; "'!" &amp; ADDRESS(ROW(), COLUMN(), 4))</f>
        <v>1</v>
      </c>
      <c r="E22" s="20" t="str">
        <f t="shared" si="16"/>
        <v/>
      </c>
      <c r="F22" s="20">
        <f t="shared" si="16"/>
        <v>1</v>
      </c>
      <c r="G22" s="20" t="str">
        <f t="shared" si="16"/>
        <v/>
      </c>
      <c r="H22" s="20" t="str">
        <f t="shared" si="16"/>
        <v/>
      </c>
      <c r="I22" s="21">
        <f t="shared" si="3"/>
        <v>2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75" customHeight="1">
      <c r="A23" s="28" t="s">
        <v>31</v>
      </c>
      <c r="B23" s="28" t="s">
        <v>32</v>
      </c>
      <c r="C23" s="29"/>
      <c r="D23" s="30">
        <f t="shared" ref="D23:H23" si="17">INDIRECT("'" &amp; $G$3 &amp; "'!" &amp; ADDRESS(ROW(), COLUMN(), 4))</f>
        <v>1</v>
      </c>
      <c r="E23" s="30">
        <f t="shared" si="17"/>
        <v>1</v>
      </c>
      <c r="F23" s="30">
        <f t="shared" si="17"/>
        <v>1</v>
      </c>
      <c r="G23" s="30">
        <f t="shared" si="17"/>
        <v>1</v>
      </c>
      <c r="H23" s="30" t="str">
        <f t="shared" si="17"/>
        <v/>
      </c>
      <c r="I23" s="31">
        <f t="shared" si="3"/>
        <v>4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75" customHeight="1">
      <c r="A24" s="28" t="s">
        <v>31</v>
      </c>
      <c r="B24" s="28" t="s">
        <v>33</v>
      </c>
      <c r="C24" s="29"/>
      <c r="D24" s="30">
        <f t="shared" ref="D24:H24" si="18">INDIRECT("'" &amp; $G$3 &amp; "'!" &amp; ADDRESS(ROW(), COLUMN(), 4))</f>
        <v>1</v>
      </c>
      <c r="E24" s="30">
        <f t="shared" si="18"/>
        <v>1</v>
      </c>
      <c r="F24" s="30">
        <f t="shared" si="18"/>
        <v>1</v>
      </c>
      <c r="G24" s="30">
        <f t="shared" si="18"/>
        <v>1</v>
      </c>
      <c r="H24" s="30" t="str">
        <f t="shared" si="18"/>
        <v/>
      </c>
      <c r="I24" s="31">
        <f t="shared" si="3"/>
        <v>4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75" customHeight="1">
      <c r="A25" s="28" t="s">
        <v>34</v>
      </c>
      <c r="B25" s="28" t="s">
        <v>35</v>
      </c>
      <c r="C25" s="29"/>
      <c r="D25" s="30">
        <f t="shared" ref="D25:H25" si="19">INDIRECT("'" &amp; $G$3 &amp; "'!" &amp; ADDRESS(ROW(), COLUMN(), 4))</f>
        <v>1</v>
      </c>
      <c r="E25" s="30">
        <f t="shared" si="19"/>
        <v>1</v>
      </c>
      <c r="F25" s="30">
        <f t="shared" si="19"/>
        <v>1</v>
      </c>
      <c r="G25" s="30">
        <f t="shared" si="19"/>
        <v>1</v>
      </c>
      <c r="H25" s="30" t="str">
        <f t="shared" si="19"/>
        <v/>
      </c>
      <c r="I25" s="31">
        <f t="shared" si="3"/>
        <v>4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75" customHeight="1">
      <c r="A26" s="28" t="s">
        <v>36</v>
      </c>
      <c r="B26" s="28" t="s">
        <v>37</v>
      </c>
      <c r="C26" s="29"/>
      <c r="D26" s="30">
        <f t="shared" ref="D26:H26" si="20">INDIRECT("'" &amp; $G$3 &amp; "'!" &amp; ADDRESS(ROW(), COLUMN(), 4))</f>
        <v>1</v>
      </c>
      <c r="E26" s="30">
        <f t="shared" si="20"/>
        <v>1</v>
      </c>
      <c r="F26" s="30">
        <f t="shared" si="20"/>
        <v>1</v>
      </c>
      <c r="G26" s="30" t="str">
        <f t="shared" si="20"/>
        <v/>
      </c>
      <c r="H26" s="30" t="str">
        <f t="shared" si="20"/>
        <v/>
      </c>
      <c r="I26" s="31">
        <f t="shared" si="3"/>
        <v>3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75" customHeight="1">
      <c r="A27" s="28" t="s">
        <v>36</v>
      </c>
      <c r="B27" s="28" t="s">
        <v>38</v>
      </c>
      <c r="C27" s="29"/>
      <c r="D27" s="30">
        <f t="shared" ref="D27:H27" si="21">INDIRECT("'" &amp; $G$3 &amp; "'!" &amp; ADDRESS(ROW(), COLUMN(), 4))</f>
        <v>0</v>
      </c>
      <c r="E27" s="30">
        <f t="shared" si="21"/>
        <v>1</v>
      </c>
      <c r="F27" s="30">
        <f t="shared" si="21"/>
        <v>1</v>
      </c>
      <c r="G27" s="30" t="str">
        <f t="shared" si="21"/>
        <v/>
      </c>
      <c r="H27" s="30" t="str">
        <f t="shared" si="21"/>
        <v/>
      </c>
      <c r="I27" s="31">
        <f t="shared" si="3"/>
        <v>2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0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0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8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mergeCells count="4">
    <mergeCell ref="A1:O1"/>
    <mergeCell ref="D3:F3"/>
    <mergeCell ref="G3:I3"/>
    <mergeCell ref="L3:N3"/>
  </mergeCells>
  <dataValidations>
    <dataValidation type="list" allowBlank="1" showErrorMessage="1" sqref="O3">
      <formula1>'Month-Year List'!$D$2:$D$13</formula1>
    </dataValidation>
    <dataValidation type="list" allowBlank="1" showErrorMessage="1" sqref="G3">
      <formula1>'Month-Year List'!$A$2:$A$13</formula1>
    </dataValidation>
  </dataValidations>
  <printOptions/>
  <pageMargins bottom="0.75" footer="0.0" header="0.0" left="0.7" right="0.7" top="0.75"/>
  <pageSetup orientation="landscape"/>
  <drawing r:id="rId4"/>
  <legacyDrawing r:id="rId5"/>
  <tableParts count="3"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2.0"/>
    <col customWidth="1" min="3" max="3" width="10.0"/>
    <col customWidth="1" min="4" max="15" width="16.0"/>
  </cols>
  <sheetData>
    <row r="1" ht="36.0" customHeight="1">
      <c r="A1" s="1" t="str">
        <f>"Attendance Sheet for "&amp;G3&amp;" - "&amp;O3&amp;""</f>
        <v>Attendance Sheet for January - 2025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/>
      <c r="B2" s="5"/>
      <c r="C2" s="5"/>
      <c r="D2" s="5"/>
      <c r="E2" s="5"/>
      <c r="F2" s="5"/>
      <c r="G2" s="5"/>
      <c r="H2" s="5"/>
      <c r="I2" s="5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0.0" customHeight="1">
      <c r="A3" s="6"/>
      <c r="B3" s="6"/>
      <c r="C3" s="8">
        <f>DATE(2025, MATCH($G$3, 'Month-Year List'!$A$2:$A$13, 0), 1)+ MOD(1 - WEEKDAY(DATE(2025, MATCH($G$3, 'Month-Year List'!$A$2:$A$13, 0), 1), 1), 7)</f>
        <v>45662</v>
      </c>
      <c r="D3" s="9" t="s">
        <v>0</v>
      </c>
      <c r="E3" s="10"/>
      <c r="F3" s="11"/>
      <c r="G3" s="32" t="s">
        <v>39</v>
      </c>
      <c r="H3" s="10"/>
      <c r="I3" s="11"/>
      <c r="J3" s="4"/>
      <c r="K3" s="4"/>
      <c r="L3" s="4"/>
      <c r="O3" s="13">
        <v>2025.0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5"/>
      <c r="B4" s="5"/>
      <c r="C4" s="5"/>
      <c r="D4" s="33" t="str">
        <f>LET( mo, MATCH($G$3,'Month-Year List'!$A$2:$A$13,0), first, $C$3, dt, first + 7*(COLUMNS($D4:D4)-1), IF(MONTH(dt)=mo, TEXT(dt,"ddd, mmm d"), ""))</f>
        <v>Sun, Jan 5</v>
      </c>
      <c r="E4" s="33" t="str">
        <f>LET( mo, MATCH($G$3,'Month-Year List'!$A$2:$A$13,0), first, $C$3, dt, first + 7*(COLUMNS($D4:E4)-1), IF(MONTH(dt)=mo, TEXT(dt,"ddd, mmm d"), ""))</f>
        <v>Sun, Jan 12</v>
      </c>
      <c r="F4" s="33" t="str">
        <f>LET( mo, MATCH($G$3,'Month-Year List'!$A$2:$A$13,0), first, $C$3, dt, first + 7*(COLUMNS($D4:F4)-1), IF(MONTH(dt)=mo, TEXT(dt,"ddd, mmm d"), ""))</f>
        <v>Sun, Jan 19</v>
      </c>
      <c r="G4" s="33" t="str">
        <f>LET( mo, MATCH($G$3,'Month-Year List'!$A$2:$A$13,0), first, $C$3, dt, first + 7*(COLUMNS($D4:G4)-1), IF(MONTH(dt)=mo, TEXT(dt,"ddd, mmm d"), ""))</f>
        <v>Sun, Jan 26</v>
      </c>
      <c r="H4" s="33" t="str">
        <f>LET( mo, MATCH($G$3,'Month-Year List'!$A$2:$A$13,0), first, $C$3, dt, first + 7*(COLUMNS($D4:H4)-1), IF(MONTH(dt)=mo, TEXT(dt,"ddd, mmm d"), ""))</f>
        <v/>
      </c>
      <c r="I4" s="33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5.5" customHeight="1">
      <c r="A5" s="14" t="s">
        <v>2</v>
      </c>
      <c r="B5" s="15" t="s">
        <v>3</v>
      </c>
      <c r="C5" s="34"/>
      <c r="D5" s="35"/>
      <c r="E5" s="35"/>
      <c r="F5" s="35"/>
      <c r="G5" s="35"/>
      <c r="H5" s="35"/>
      <c r="I5" s="35" t="s">
        <v>4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75" customHeight="1">
      <c r="A6" s="36" t="s">
        <v>5</v>
      </c>
      <c r="B6" s="36" t="s">
        <v>6</v>
      </c>
      <c r="C6" s="4"/>
      <c r="D6" s="20"/>
      <c r="E6" s="20"/>
      <c r="F6" s="20"/>
      <c r="G6" s="19">
        <v>1.0</v>
      </c>
      <c r="H6" s="20"/>
      <c r="I6" s="20">
        <f t="shared" ref="I6:I28" si="1">COUNTIF(D6:H6,1)</f>
        <v>1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75" customHeight="1">
      <c r="A7" s="36" t="s">
        <v>5</v>
      </c>
      <c r="B7" s="36" t="s">
        <v>7</v>
      </c>
      <c r="C7" s="4"/>
      <c r="D7" s="20"/>
      <c r="E7" s="20"/>
      <c r="F7" s="19">
        <v>1.0</v>
      </c>
      <c r="G7" s="19">
        <v>1.0</v>
      </c>
      <c r="H7" s="20"/>
      <c r="I7" s="20">
        <f t="shared" si="1"/>
        <v>2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75" customHeight="1">
      <c r="A8" s="36" t="s">
        <v>8</v>
      </c>
      <c r="B8" s="36" t="s">
        <v>9</v>
      </c>
      <c r="C8" s="4"/>
      <c r="D8" s="20"/>
      <c r="E8" s="20"/>
      <c r="F8" s="19">
        <v>1.0</v>
      </c>
      <c r="G8" s="19">
        <v>1.0</v>
      </c>
      <c r="H8" s="20"/>
      <c r="I8" s="20">
        <f t="shared" si="1"/>
        <v>2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75" customHeight="1">
      <c r="A9" s="36" t="s">
        <v>8</v>
      </c>
      <c r="B9" s="36" t="s">
        <v>10</v>
      </c>
      <c r="C9" s="4"/>
      <c r="D9" s="20"/>
      <c r="E9" s="20"/>
      <c r="F9" s="19">
        <v>1.0</v>
      </c>
      <c r="G9" s="20"/>
      <c r="H9" s="20"/>
      <c r="I9" s="20">
        <f t="shared" si="1"/>
        <v>1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75" customHeight="1">
      <c r="A10" s="36" t="s">
        <v>11</v>
      </c>
      <c r="B10" s="36" t="s">
        <v>12</v>
      </c>
      <c r="C10" s="4"/>
      <c r="D10" s="20"/>
      <c r="E10" s="20"/>
      <c r="F10" s="19">
        <v>1.0</v>
      </c>
      <c r="G10" s="19">
        <v>1.0</v>
      </c>
      <c r="H10" s="20"/>
      <c r="I10" s="20">
        <f t="shared" si="1"/>
        <v>2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75" customHeight="1">
      <c r="A11" s="36" t="s">
        <v>11</v>
      </c>
      <c r="B11" s="36" t="s">
        <v>13</v>
      </c>
      <c r="C11" s="4"/>
      <c r="D11" s="20"/>
      <c r="E11" s="20"/>
      <c r="F11" s="19">
        <v>1.0</v>
      </c>
      <c r="G11" s="20"/>
      <c r="H11" s="20"/>
      <c r="I11" s="20">
        <f t="shared" si="1"/>
        <v>1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75" customHeight="1">
      <c r="A12" s="36" t="s">
        <v>14</v>
      </c>
      <c r="B12" s="36" t="s">
        <v>15</v>
      </c>
      <c r="C12" s="4"/>
      <c r="D12" s="20"/>
      <c r="E12" s="20"/>
      <c r="F12" s="19">
        <v>1.0</v>
      </c>
      <c r="G12" s="19">
        <v>1.0</v>
      </c>
      <c r="H12" s="20"/>
      <c r="I12" s="20">
        <f t="shared" si="1"/>
        <v>2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75" customHeight="1">
      <c r="A13" s="36" t="s">
        <v>14</v>
      </c>
      <c r="B13" s="36" t="s">
        <v>16</v>
      </c>
      <c r="C13" s="4"/>
      <c r="D13" s="20"/>
      <c r="E13" s="20"/>
      <c r="F13" s="20"/>
      <c r="G13" s="19">
        <v>1.0</v>
      </c>
      <c r="H13" s="20"/>
      <c r="I13" s="20">
        <f t="shared" si="1"/>
        <v>1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75" customHeight="1">
      <c r="A14" s="36" t="s">
        <v>17</v>
      </c>
      <c r="B14" s="36" t="s">
        <v>18</v>
      </c>
      <c r="C14" s="4"/>
      <c r="D14" s="20"/>
      <c r="E14" s="20"/>
      <c r="F14" s="19">
        <v>1.0</v>
      </c>
      <c r="G14" s="19">
        <v>1.0</v>
      </c>
      <c r="H14" s="20"/>
      <c r="I14" s="20">
        <f t="shared" si="1"/>
        <v>2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75" customHeight="1">
      <c r="A15" s="36" t="s">
        <v>17</v>
      </c>
      <c r="B15" s="36" t="s">
        <v>19</v>
      </c>
      <c r="C15" s="4"/>
      <c r="D15" s="20"/>
      <c r="E15" s="20"/>
      <c r="F15" s="19">
        <v>1.0</v>
      </c>
      <c r="G15" s="20"/>
      <c r="H15" s="20"/>
      <c r="I15" s="20">
        <f t="shared" si="1"/>
        <v>1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75" customHeight="1">
      <c r="A16" s="36" t="s">
        <v>20</v>
      </c>
      <c r="B16" s="36" t="s">
        <v>21</v>
      </c>
      <c r="C16" s="4"/>
      <c r="D16" s="20"/>
      <c r="E16" s="20"/>
      <c r="F16" s="20"/>
      <c r="G16" s="20"/>
      <c r="H16" s="20"/>
      <c r="I16" s="20">
        <f t="shared" si="1"/>
        <v>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75" customHeight="1">
      <c r="A17" s="36" t="s">
        <v>20</v>
      </c>
      <c r="B17" s="36" t="s">
        <v>40</v>
      </c>
      <c r="C17" s="4"/>
      <c r="D17" s="20"/>
      <c r="E17" s="20"/>
      <c r="F17" s="20"/>
      <c r="G17" s="19">
        <v>1.0</v>
      </c>
      <c r="H17" s="20"/>
      <c r="I17" s="20">
        <f t="shared" si="1"/>
        <v>1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75" customHeight="1">
      <c r="A18" s="36" t="s">
        <v>20</v>
      </c>
      <c r="B18" s="36" t="s">
        <v>23</v>
      </c>
      <c r="C18" s="4"/>
      <c r="D18" s="20"/>
      <c r="E18" s="20"/>
      <c r="F18" s="20"/>
      <c r="G18" s="19">
        <v>1.0</v>
      </c>
      <c r="H18" s="20"/>
      <c r="I18" s="20">
        <f t="shared" si="1"/>
        <v>1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75" customHeight="1">
      <c r="A19" s="36" t="s">
        <v>24</v>
      </c>
      <c r="B19" s="36" t="s">
        <v>25</v>
      </c>
      <c r="C19" s="4"/>
      <c r="D19" s="20"/>
      <c r="E19" s="20"/>
      <c r="F19" s="19">
        <v>1.0</v>
      </c>
      <c r="G19" s="19">
        <v>1.0</v>
      </c>
      <c r="H19" s="20"/>
      <c r="I19" s="20">
        <f t="shared" si="1"/>
        <v>2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75" customHeight="1">
      <c r="A20" s="36" t="s">
        <v>24</v>
      </c>
      <c r="B20" s="36" t="s">
        <v>26</v>
      </c>
      <c r="C20" s="4"/>
      <c r="D20" s="20"/>
      <c r="E20" s="20"/>
      <c r="F20" s="19">
        <v>1.0</v>
      </c>
      <c r="G20" s="19">
        <v>1.0</v>
      </c>
      <c r="H20" s="20"/>
      <c r="I20" s="20">
        <f t="shared" si="1"/>
        <v>2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75" customHeight="1">
      <c r="A21" s="36" t="s">
        <v>27</v>
      </c>
      <c r="B21" s="36" t="s">
        <v>28</v>
      </c>
      <c r="C21" s="4"/>
      <c r="D21" s="20"/>
      <c r="E21" s="20"/>
      <c r="F21" s="20"/>
      <c r="G21" s="19">
        <v>1.0</v>
      </c>
      <c r="H21" s="20"/>
      <c r="I21" s="20">
        <f t="shared" si="1"/>
        <v>1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75" customHeight="1">
      <c r="A22" s="36" t="s">
        <v>27</v>
      </c>
      <c r="B22" s="36" t="s">
        <v>29</v>
      </c>
      <c r="C22" s="4"/>
      <c r="D22" s="20"/>
      <c r="E22" s="20"/>
      <c r="F22" s="19">
        <v>1.0</v>
      </c>
      <c r="G22" s="19">
        <v>1.0</v>
      </c>
      <c r="H22" s="20"/>
      <c r="I22" s="20">
        <f t="shared" si="1"/>
        <v>2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75" customHeight="1">
      <c r="A23" s="36" t="s">
        <v>27</v>
      </c>
      <c r="B23" s="36" t="s">
        <v>30</v>
      </c>
      <c r="C23" s="4"/>
      <c r="D23" s="20"/>
      <c r="E23" s="20"/>
      <c r="F23" s="19">
        <v>1.0</v>
      </c>
      <c r="G23" s="20"/>
      <c r="H23" s="20"/>
      <c r="I23" s="20">
        <f t="shared" si="1"/>
        <v>1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75" customHeight="1">
      <c r="A24" s="37" t="s">
        <v>31</v>
      </c>
      <c r="B24" s="37" t="s">
        <v>32</v>
      </c>
      <c r="C24" s="29"/>
      <c r="D24" s="30"/>
      <c r="E24" s="30"/>
      <c r="F24" s="30"/>
      <c r="G24" s="38">
        <v>1.0</v>
      </c>
      <c r="H24" s="30"/>
      <c r="I24" s="30">
        <f t="shared" si="1"/>
        <v>1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75" customHeight="1">
      <c r="A25" s="37" t="s">
        <v>31</v>
      </c>
      <c r="B25" s="37" t="s">
        <v>33</v>
      </c>
      <c r="C25" s="29"/>
      <c r="D25" s="30"/>
      <c r="E25" s="30"/>
      <c r="F25" s="38">
        <v>1.0</v>
      </c>
      <c r="G25" s="38">
        <v>1.0</v>
      </c>
      <c r="H25" s="30"/>
      <c r="I25" s="30">
        <f t="shared" si="1"/>
        <v>2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75" customHeight="1">
      <c r="A26" s="37" t="s">
        <v>34</v>
      </c>
      <c r="B26" s="37" t="s">
        <v>35</v>
      </c>
      <c r="C26" s="29"/>
      <c r="D26" s="30"/>
      <c r="E26" s="30"/>
      <c r="F26" s="38">
        <v>1.0</v>
      </c>
      <c r="G26" s="38">
        <v>1.0</v>
      </c>
      <c r="H26" s="30"/>
      <c r="I26" s="30">
        <f t="shared" si="1"/>
        <v>2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75" customHeight="1">
      <c r="A27" s="37" t="s">
        <v>36</v>
      </c>
      <c r="B27" s="37" t="s">
        <v>37</v>
      </c>
      <c r="C27" s="29"/>
      <c r="D27" s="30"/>
      <c r="E27" s="38">
        <v>1.0</v>
      </c>
      <c r="F27" s="38">
        <v>1.0</v>
      </c>
      <c r="G27" s="38">
        <v>1.0</v>
      </c>
      <c r="H27" s="30"/>
      <c r="I27" s="30">
        <f t="shared" si="1"/>
        <v>3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75" customHeight="1">
      <c r="A28" s="37" t="s">
        <v>36</v>
      </c>
      <c r="B28" s="37" t="s">
        <v>38</v>
      </c>
      <c r="C28" s="29"/>
      <c r="D28" s="30"/>
      <c r="E28" s="38">
        <v>0.0</v>
      </c>
      <c r="F28" s="38">
        <v>0.0</v>
      </c>
      <c r="G28" s="38">
        <v>1.0</v>
      </c>
      <c r="H28" s="30"/>
      <c r="I28" s="30">
        <f t="shared" si="1"/>
        <v>1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0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0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8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A1:O1"/>
    <mergeCell ref="D3:F3"/>
    <mergeCell ref="G3:I3"/>
    <mergeCell ref="L3:N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2.0"/>
    <col customWidth="1" min="3" max="3" width="10.0"/>
    <col customWidth="1" min="4" max="15" width="16.0"/>
  </cols>
  <sheetData>
    <row r="1" ht="36.0" customHeight="1">
      <c r="A1" s="1" t="str">
        <f>"Attendance Sheet for "&amp;G3&amp;" - "&amp;O3&amp;""</f>
        <v>Attendance Sheet for February - 2025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/>
      <c r="B2" s="5"/>
      <c r="C2" s="5"/>
      <c r="D2" s="5"/>
      <c r="E2" s="5"/>
      <c r="F2" s="5"/>
      <c r="G2" s="5"/>
      <c r="H2" s="5"/>
      <c r="I2" s="5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0.0" customHeight="1">
      <c r="A3" s="6"/>
      <c r="B3" s="6"/>
      <c r="C3" s="8">
        <f>DATE(2025, MATCH($G$3, 'Month-Year List'!$A$2:$A$13, 0), 1)+ MOD(1 - WEEKDAY(DATE(2025, MATCH($G$3, 'Month-Year List'!$A$2:$A$13, 0), 1), 1), 7)</f>
        <v>45690</v>
      </c>
      <c r="D3" s="9" t="s">
        <v>0</v>
      </c>
      <c r="E3" s="10"/>
      <c r="F3" s="11"/>
      <c r="G3" s="32" t="s">
        <v>41</v>
      </c>
      <c r="H3" s="10"/>
      <c r="I3" s="11"/>
      <c r="J3" s="4"/>
      <c r="K3" s="4"/>
      <c r="L3" s="4"/>
      <c r="O3" s="13">
        <v>2025.0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5"/>
      <c r="B4" s="5"/>
      <c r="C4" s="5"/>
      <c r="D4" s="33" t="str">
        <f>LET( mo, MATCH($G$3,'Month-Year List'!$A$2:$A$13,0), first, $C$3, dt, first + 7*(COLUMNS($D4:D4)-1), IF(MONTH(dt)=mo, TEXT(dt,"ddd, mmm d"), ""))</f>
        <v>Sun, Feb 2</v>
      </c>
      <c r="E4" s="33" t="str">
        <f>LET( mo, MATCH($G$3,'Month-Year List'!$A$2:$A$13,0), first, $C$3, dt, first + 7*(COLUMNS($D4:E4)-1), IF(MONTH(dt)=mo, TEXT(dt,"ddd, mmm d"), ""))</f>
        <v>Sun, Feb 9</v>
      </c>
      <c r="F4" s="33" t="str">
        <f>LET( mo, MATCH($G$3,'Month-Year List'!$A$2:$A$13,0), first, $C$3, dt, first + 7*(COLUMNS($D4:F4)-1), IF(MONTH(dt)=mo, TEXT(dt,"ddd, mmm d"), ""))</f>
        <v>Sun, Feb 16</v>
      </c>
      <c r="G4" s="33" t="str">
        <f>LET( mo, MATCH($G$3,'Month-Year List'!$A$2:$A$13,0), first, $C$3, dt, first + 7*(COLUMNS($D4:G4)-1), IF(MONTH(dt)=mo, TEXT(dt,"ddd, mmm d"), ""))</f>
        <v>Sun, Feb 23</v>
      </c>
      <c r="H4" s="33" t="str">
        <f>LET( mo, MATCH($G$3,'Month-Year List'!$A$2:$A$13,0), first, $C$3, dt, first + 7*(COLUMNS($D4:H4)-1), IF(MONTH(dt)=mo, TEXT(dt,"ddd, mmm d"), ""))</f>
        <v/>
      </c>
      <c r="I4" s="33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5.5" customHeight="1">
      <c r="A5" s="14" t="s">
        <v>2</v>
      </c>
      <c r="B5" s="15" t="s">
        <v>3</v>
      </c>
      <c r="C5" s="34"/>
      <c r="D5" s="35"/>
      <c r="E5" s="35"/>
      <c r="F5" s="35"/>
      <c r="G5" s="35"/>
      <c r="H5" s="35"/>
      <c r="I5" s="35" t="s">
        <v>4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75" customHeight="1">
      <c r="A6" s="36" t="s">
        <v>5</v>
      </c>
      <c r="B6" s="36" t="s">
        <v>6</v>
      </c>
      <c r="C6" s="4"/>
      <c r="D6" s="20"/>
      <c r="E6" s="20"/>
      <c r="F6" s="20"/>
      <c r="G6" s="20"/>
      <c r="H6" s="20"/>
      <c r="I6" s="20">
        <f t="shared" ref="I6:I28" si="1">COUNTIF(D6:H6,1)</f>
        <v>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75" customHeight="1">
      <c r="A7" s="36" t="s">
        <v>5</v>
      </c>
      <c r="B7" s="36" t="s">
        <v>7</v>
      </c>
      <c r="C7" s="4"/>
      <c r="D7" s="20"/>
      <c r="E7" s="20"/>
      <c r="F7" s="20"/>
      <c r="G7" s="20"/>
      <c r="H7" s="20"/>
      <c r="I7" s="20">
        <f t="shared" si="1"/>
        <v>0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75" customHeight="1">
      <c r="A8" s="36" t="s">
        <v>8</v>
      </c>
      <c r="B8" s="36" t="s">
        <v>9</v>
      </c>
      <c r="C8" s="4"/>
      <c r="D8" s="20"/>
      <c r="E8" s="20"/>
      <c r="F8" s="20"/>
      <c r="G8" s="20"/>
      <c r="H8" s="20"/>
      <c r="I8" s="20">
        <f t="shared" si="1"/>
        <v>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75" customHeight="1">
      <c r="A9" s="36" t="s">
        <v>8</v>
      </c>
      <c r="B9" s="36" t="s">
        <v>10</v>
      </c>
      <c r="C9" s="4"/>
      <c r="D9" s="20"/>
      <c r="E9" s="20"/>
      <c r="F9" s="20"/>
      <c r="G9" s="20"/>
      <c r="H9" s="20"/>
      <c r="I9" s="20">
        <f t="shared" si="1"/>
        <v>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75" customHeight="1">
      <c r="A10" s="36" t="s">
        <v>11</v>
      </c>
      <c r="B10" s="36" t="s">
        <v>12</v>
      </c>
      <c r="C10" s="4"/>
      <c r="D10" s="20"/>
      <c r="E10" s="20"/>
      <c r="F10" s="20"/>
      <c r="G10" s="20"/>
      <c r="H10" s="20"/>
      <c r="I10" s="20">
        <f t="shared" si="1"/>
        <v>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75" customHeight="1">
      <c r="A11" s="36" t="s">
        <v>11</v>
      </c>
      <c r="B11" s="36" t="s">
        <v>13</v>
      </c>
      <c r="C11" s="4"/>
      <c r="D11" s="20"/>
      <c r="E11" s="20"/>
      <c r="F11" s="20"/>
      <c r="G11" s="20"/>
      <c r="H11" s="20"/>
      <c r="I11" s="20">
        <f t="shared" si="1"/>
        <v>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75" customHeight="1">
      <c r="A12" s="36" t="s">
        <v>14</v>
      </c>
      <c r="B12" s="36" t="s">
        <v>15</v>
      </c>
      <c r="C12" s="4"/>
      <c r="D12" s="20"/>
      <c r="E12" s="20"/>
      <c r="F12" s="20"/>
      <c r="G12" s="20"/>
      <c r="H12" s="20"/>
      <c r="I12" s="20">
        <f t="shared" si="1"/>
        <v>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75" customHeight="1">
      <c r="A13" s="36" t="s">
        <v>14</v>
      </c>
      <c r="B13" s="36" t="s">
        <v>16</v>
      </c>
      <c r="C13" s="4"/>
      <c r="D13" s="19">
        <v>1.0</v>
      </c>
      <c r="E13" s="20"/>
      <c r="F13" s="20"/>
      <c r="G13" s="20"/>
      <c r="H13" s="20"/>
      <c r="I13" s="20">
        <f t="shared" si="1"/>
        <v>1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75" customHeight="1">
      <c r="A14" s="36" t="s">
        <v>17</v>
      </c>
      <c r="B14" s="36" t="s">
        <v>18</v>
      </c>
      <c r="C14" s="4"/>
      <c r="D14" s="20"/>
      <c r="E14" s="20"/>
      <c r="F14" s="20"/>
      <c r="G14" s="20"/>
      <c r="H14" s="20"/>
      <c r="I14" s="20">
        <f t="shared" si="1"/>
        <v>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75" customHeight="1">
      <c r="A15" s="36" t="s">
        <v>17</v>
      </c>
      <c r="B15" s="36" t="s">
        <v>19</v>
      </c>
      <c r="C15" s="4"/>
      <c r="D15" s="20"/>
      <c r="E15" s="20"/>
      <c r="F15" s="20"/>
      <c r="G15" s="20"/>
      <c r="H15" s="20"/>
      <c r="I15" s="20">
        <f t="shared" si="1"/>
        <v>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75" customHeight="1">
      <c r="A16" s="36" t="s">
        <v>20</v>
      </c>
      <c r="B16" s="36" t="s">
        <v>21</v>
      </c>
      <c r="C16" s="4"/>
      <c r="D16" s="20"/>
      <c r="E16" s="20"/>
      <c r="F16" s="20"/>
      <c r="G16" s="20"/>
      <c r="H16" s="20"/>
      <c r="I16" s="20">
        <f t="shared" si="1"/>
        <v>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75" customHeight="1">
      <c r="A17" s="36" t="s">
        <v>20</v>
      </c>
      <c r="B17" s="36" t="s">
        <v>40</v>
      </c>
      <c r="C17" s="4"/>
      <c r="D17" s="19">
        <v>1.0</v>
      </c>
      <c r="E17" s="20"/>
      <c r="F17" s="20"/>
      <c r="G17" s="20"/>
      <c r="H17" s="20"/>
      <c r="I17" s="20">
        <f t="shared" si="1"/>
        <v>1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75" customHeight="1">
      <c r="A18" s="36" t="s">
        <v>20</v>
      </c>
      <c r="B18" s="36" t="s">
        <v>23</v>
      </c>
      <c r="C18" s="4"/>
      <c r="D18" s="20"/>
      <c r="E18" s="20"/>
      <c r="F18" s="20"/>
      <c r="G18" s="20"/>
      <c r="H18" s="20"/>
      <c r="I18" s="20">
        <f t="shared" si="1"/>
        <v>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75" customHeight="1">
      <c r="A19" s="36" t="s">
        <v>24</v>
      </c>
      <c r="B19" s="36" t="s">
        <v>25</v>
      </c>
      <c r="C19" s="4"/>
      <c r="D19" s="19">
        <v>1.0</v>
      </c>
      <c r="E19" s="20"/>
      <c r="F19" s="20"/>
      <c r="G19" s="20"/>
      <c r="H19" s="20"/>
      <c r="I19" s="20">
        <f t="shared" si="1"/>
        <v>1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75" customHeight="1">
      <c r="A20" s="36" t="s">
        <v>24</v>
      </c>
      <c r="B20" s="36" t="s">
        <v>26</v>
      </c>
      <c r="C20" s="4"/>
      <c r="D20" s="20"/>
      <c r="E20" s="20"/>
      <c r="F20" s="20"/>
      <c r="G20" s="20"/>
      <c r="H20" s="20"/>
      <c r="I20" s="20">
        <f t="shared" si="1"/>
        <v>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75" customHeight="1">
      <c r="A21" s="36" t="s">
        <v>27</v>
      </c>
      <c r="B21" s="36" t="s">
        <v>28</v>
      </c>
      <c r="C21" s="4"/>
      <c r="D21" s="19">
        <v>1.0</v>
      </c>
      <c r="E21" s="20"/>
      <c r="F21" s="20"/>
      <c r="G21" s="20"/>
      <c r="H21" s="20"/>
      <c r="I21" s="20">
        <f t="shared" si="1"/>
        <v>1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75" customHeight="1">
      <c r="A22" s="36" t="s">
        <v>27</v>
      </c>
      <c r="B22" s="36" t="s">
        <v>29</v>
      </c>
      <c r="C22" s="4"/>
      <c r="D22" s="20"/>
      <c r="E22" s="19">
        <v>1.0</v>
      </c>
      <c r="F22" s="20"/>
      <c r="G22" s="20"/>
      <c r="H22" s="20"/>
      <c r="I22" s="20">
        <f t="shared" si="1"/>
        <v>1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75" customHeight="1">
      <c r="A23" s="36" t="s">
        <v>27</v>
      </c>
      <c r="B23" s="36" t="s">
        <v>30</v>
      </c>
      <c r="C23" s="4"/>
      <c r="D23" s="20"/>
      <c r="E23" s="20"/>
      <c r="F23" s="20"/>
      <c r="G23" s="20"/>
      <c r="H23" s="20"/>
      <c r="I23" s="20">
        <f t="shared" si="1"/>
        <v>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75" customHeight="1">
      <c r="A24" s="37" t="s">
        <v>31</v>
      </c>
      <c r="B24" s="37" t="s">
        <v>32</v>
      </c>
      <c r="C24" s="29"/>
      <c r="D24" s="38">
        <v>1.0</v>
      </c>
      <c r="E24" s="30"/>
      <c r="F24" s="30"/>
      <c r="G24" s="30"/>
      <c r="H24" s="30"/>
      <c r="I24" s="30">
        <f t="shared" si="1"/>
        <v>1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75" customHeight="1">
      <c r="A25" s="37" t="s">
        <v>31</v>
      </c>
      <c r="B25" s="37" t="s">
        <v>33</v>
      </c>
      <c r="C25" s="29"/>
      <c r="D25" s="38">
        <v>1.0</v>
      </c>
      <c r="E25" s="30"/>
      <c r="F25" s="30"/>
      <c r="G25" s="30"/>
      <c r="H25" s="30"/>
      <c r="I25" s="30">
        <f t="shared" si="1"/>
        <v>1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75" customHeight="1">
      <c r="A26" s="37" t="s">
        <v>34</v>
      </c>
      <c r="B26" s="37" t="s">
        <v>35</v>
      </c>
      <c r="C26" s="29"/>
      <c r="D26" s="38">
        <v>1.0</v>
      </c>
      <c r="E26" s="30"/>
      <c r="F26" s="30"/>
      <c r="G26" s="30"/>
      <c r="H26" s="30"/>
      <c r="I26" s="30">
        <f t="shared" si="1"/>
        <v>1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75" customHeight="1">
      <c r="A27" s="37" t="s">
        <v>36</v>
      </c>
      <c r="B27" s="37" t="s">
        <v>37</v>
      </c>
      <c r="C27" s="29"/>
      <c r="D27" s="38">
        <v>1.0</v>
      </c>
      <c r="E27" s="38">
        <v>1.0</v>
      </c>
      <c r="F27" s="38">
        <v>1.0</v>
      </c>
      <c r="G27" s="38">
        <v>1.0</v>
      </c>
      <c r="H27" s="30"/>
      <c r="I27" s="30">
        <f t="shared" si="1"/>
        <v>4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75" customHeight="1">
      <c r="A28" s="37" t="s">
        <v>36</v>
      </c>
      <c r="B28" s="37" t="s">
        <v>38</v>
      </c>
      <c r="C28" s="29"/>
      <c r="D28" s="38">
        <v>0.0</v>
      </c>
      <c r="E28" s="38">
        <v>0.0</v>
      </c>
      <c r="F28" s="38">
        <v>0.0</v>
      </c>
      <c r="G28" s="38">
        <v>1.0</v>
      </c>
      <c r="H28" s="30"/>
      <c r="I28" s="30">
        <f t="shared" si="1"/>
        <v>1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0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0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8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A1:O1"/>
    <mergeCell ref="D3:F3"/>
    <mergeCell ref="G3:I3"/>
    <mergeCell ref="L3:N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2.0"/>
    <col customWidth="1" min="3" max="3" width="10.0"/>
    <col customWidth="1" min="4" max="15" width="16.0"/>
  </cols>
  <sheetData>
    <row r="1" ht="36.0" customHeight="1">
      <c r="A1" s="1" t="str">
        <f>"Attendance Sheet for "&amp;G3&amp;" - "&amp;O3&amp;""</f>
        <v>Attendance Sheet for March - 2025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/>
      <c r="B2" s="5"/>
      <c r="C2" s="5"/>
      <c r="D2" s="5"/>
      <c r="E2" s="5"/>
      <c r="F2" s="5"/>
      <c r="G2" s="5"/>
      <c r="H2" s="5"/>
      <c r="I2" s="5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0.0" customHeight="1">
      <c r="A3" s="6"/>
      <c r="B3" s="6"/>
      <c r="C3" s="8">
        <f>DATE(2025, MATCH($G$3, 'Month-Year List'!$A$2:$A$13, 0), 1)+ MOD(1 - WEEKDAY(DATE(2025, MATCH($G$3, 'Month-Year List'!$A$2:$A$13, 0), 1), 1), 7)</f>
        <v>45718</v>
      </c>
      <c r="D3" s="9" t="s">
        <v>0</v>
      </c>
      <c r="E3" s="10"/>
      <c r="F3" s="11"/>
      <c r="G3" s="32" t="s">
        <v>42</v>
      </c>
      <c r="H3" s="10"/>
      <c r="I3" s="11"/>
      <c r="J3" s="4"/>
      <c r="K3" s="4"/>
      <c r="L3" s="4"/>
      <c r="O3" s="13">
        <v>2025.0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5"/>
      <c r="B4" s="5"/>
      <c r="C4" s="5"/>
      <c r="D4" s="33" t="str">
        <f>LET( mo, MATCH($G$3,'Month-Year List'!$A$2:$A$13,0), first, $C$3, dt, first + 7*(COLUMNS($D4:D4)-1), IF(MONTH(dt)=mo, TEXT(dt,"ddd, mmm d"), ""))</f>
        <v>Sun, Mar 2</v>
      </c>
      <c r="E4" s="33" t="str">
        <f>LET( mo, MATCH($G$3,'Month-Year List'!$A$2:$A$13,0), first, $C$3, dt, first + 7*(COLUMNS($D4:E4)-1), IF(MONTH(dt)=mo, TEXT(dt,"ddd, mmm d"), ""))</f>
        <v>Sun, Mar 9</v>
      </c>
      <c r="F4" s="33" t="str">
        <f>LET( mo, MATCH($G$3,'Month-Year List'!$A$2:$A$13,0), first, $C$3, dt, first + 7*(COLUMNS($D4:F4)-1), IF(MONTH(dt)=mo, TEXT(dt,"ddd, mmm d"), ""))</f>
        <v>Sun, Mar 16</v>
      </c>
      <c r="G4" s="33" t="str">
        <f>LET( mo, MATCH($G$3,'Month-Year List'!$A$2:$A$13,0), first, $C$3, dt, first + 7*(COLUMNS($D4:G4)-1), IF(MONTH(dt)=mo, TEXT(dt,"ddd, mmm d"), ""))</f>
        <v>Sun, Mar 23</v>
      </c>
      <c r="H4" s="33" t="str">
        <f>LET( mo, MATCH($G$3,'Month-Year List'!$A$2:$A$13,0), first, $C$3, dt, first + 7*(COLUMNS($D4:H4)-1), IF(MONTH(dt)=mo, TEXT(dt,"ddd, mmm d"), ""))</f>
        <v>Sun, Mar 30</v>
      </c>
      <c r="I4" s="33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5.5" customHeight="1">
      <c r="A5" s="14" t="s">
        <v>2</v>
      </c>
      <c r="B5" s="15" t="s">
        <v>3</v>
      </c>
      <c r="C5" s="34"/>
      <c r="D5" s="35"/>
      <c r="E5" s="35"/>
      <c r="F5" s="35"/>
      <c r="G5" s="35"/>
      <c r="H5" s="35"/>
      <c r="I5" s="35" t="s">
        <v>4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75" customHeight="1">
      <c r="A6" s="36" t="s">
        <v>5</v>
      </c>
      <c r="B6" s="36" t="s">
        <v>6</v>
      </c>
      <c r="C6" s="4"/>
      <c r="D6" s="20"/>
      <c r="E6" s="20"/>
      <c r="F6" s="20"/>
      <c r="G6" s="20"/>
      <c r="H6" s="20"/>
      <c r="I6" s="20">
        <f t="shared" ref="I6:I28" si="1">COUNTIF(D6:H6,1)</f>
        <v>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75" customHeight="1">
      <c r="A7" s="36" t="s">
        <v>5</v>
      </c>
      <c r="B7" s="36" t="s">
        <v>7</v>
      </c>
      <c r="C7" s="4"/>
      <c r="D7" s="20"/>
      <c r="E7" s="20"/>
      <c r="F7" s="20"/>
      <c r="G7" s="20"/>
      <c r="H7" s="20"/>
      <c r="I7" s="20">
        <f t="shared" si="1"/>
        <v>0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75" customHeight="1">
      <c r="A8" s="36" t="s">
        <v>8</v>
      </c>
      <c r="B8" s="36" t="s">
        <v>9</v>
      </c>
      <c r="C8" s="4"/>
      <c r="D8" s="20"/>
      <c r="E8" s="20"/>
      <c r="F8" s="20"/>
      <c r="G8" s="20"/>
      <c r="H8" s="20"/>
      <c r="I8" s="20">
        <f t="shared" si="1"/>
        <v>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75" customHeight="1">
      <c r="A9" s="36" t="s">
        <v>8</v>
      </c>
      <c r="B9" s="36" t="s">
        <v>10</v>
      </c>
      <c r="C9" s="4"/>
      <c r="D9" s="20"/>
      <c r="E9" s="20"/>
      <c r="F9" s="20"/>
      <c r="G9" s="20"/>
      <c r="H9" s="20"/>
      <c r="I9" s="20">
        <f t="shared" si="1"/>
        <v>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75" customHeight="1">
      <c r="A10" s="36" t="s">
        <v>11</v>
      </c>
      <c r="B10" s="36" t="s">
        <v>12</v>
      </c>
      <c r="C10" s="4"/>
      <c r="D10" s="20"/>
      <c r="E10" s="20"/>
      <c r="F10" s="20"/>
      <c r="G10" s="20"/>
      <c r="H10" s="20"/>
      <c r="I10" s="20">
        <f t="shared" si="1"/>
        <v>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75" customHeight="1">
      <c r="A11" s="36" t="s">
        <v>11</v>
      </c>
      <c r="B11" s="36" t="s">
        <v>13</v>
      </c>
      <c r="C11" s="4"/>
      <c r="D11" s="20"/>
      <c r="E11" s="20"/>
      <c r="F11" s="20"/>
      <c r="G11" s="20"/>
      <c r="H11" s="20"/>
      <c r="I11" s="20">
        <f t="shared" si="1"/>
        <v>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75" customHeight="1">
      <c r="A12" s="36" t="s">
        <v>14</v>
      </c>
      <c r="B12" s="36" t="s">
        <v>15</v>
      </c>
      <c r="C12" s="4"/>
      <c r="D12" s="20"/>
      <c r="E12" s="20"/>
      <c r="F12" s="20"/>
      <c r="G12" s="20"/>
      <c r="H12" s="20"/>
      <c r="I12" s="20">
        <f t="shared" si="1"/>
        <v>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75" customHeight="1">
      <c r="A13" s="36" t="s">
        <v>14</v>
      </c>
      <c r="B13" s="36" t="s">
        <v>16</v>
      </c>
      <c r="C13" s="4"/>
      <c r="D13" s="20"/>
      <c r="E13" s="20"/>
      <c r="F13" s="20"/>
      <c r="G13" s="20"/>
      <c r="H13" s="20"/>
      <c r="I13" s="20">
        <f t="shared" si="1"/>
        <v>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75" customHeight="1">
      <c r="A14" s="36" t="s">
        <v>17</v>
      </c>
      <c r="B14" s="36" t="s">
        <v>18</v>
      </c>
      <c r="C14" s="4"/>
      <c r="D14" s="20"/>
      <c r="E14" s="20"/>
      <c r="F14" s="20"/>
      <c r="G14" s="20"/>
      <c r="H14" s="20"/>
      <c r="I14" s="20">
        <f t="shared" si="1"/>
        <v>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75" customHeight="1">
      <c r="A15" s="36" t="s">
        <v>17</v>
      </c>
      <c r="B15" s="36" t="s">
        <v>19</v>
      </c>
      <c r="C15" s="4"/>
      <c r="D15" s="20"/>
      <c r="E15" s="20"/>
      <c r="F15" s="20"/>
      <c r="G15" s="20"/>
      <c r="H15" s="20"/>
      <c r="I15" s="20">
        <f t="shared" si="1"/>
        <v>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75" customHeight="1">
      <c r="A16" s="36" t="s">
        <v>20</v>
      </c>
      <c r="B16" s="36" t="s">
        <v>21</v>
      </c>
      <c r="C16" s="4"/>
      <c r="D16" s="20"/>
      <c r="E16" s="20"/>
      <c r="F16" s="20"/>
      <c r="G16" s="20"/>
      <c r="H16" s="20"/>
      <c r="I16" s="20">
        <f t="shared" si="1"/>
        <v>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75" customHeight="1">
      <c r="A17" s="36" t="s">
        <v>20</v>
      </c>
      <c r="B17" s="36" t="s">
        <v>40</v>
      </c>
      <c r="C17" s="4"/>
      <c r="D17" s="20"/>
      <c r="E17" s="20"/>
      <c r="F17" s="20"/>
      <c r="G17" s="20"/>
      <c r="H17" s="20"/>
      <c r="I17" s="20">
        <f t="shared" si="1"/>
        <v>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75" customHeight="1">
      <c r="A18" s="36" t="s">
        <v>20</v>
      </c>
      <c r="B18" s="36" t="s">
        <v>23</v>
      </c>
      <c r="C18" s="4"/>
      <c r="D18" s="20"/>
      <c r="E18" s="20"/>
      <c r="F18" s="20"/>
      <c r="G18" s="20"/>
      <c r="H18" s="20"/>
      <c r="I18" s="20">
        <f t="shared" si="1"/>
        <v>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75" customHeight="1">
      <c r="A19" s="36" t="s">
        <v>24</v>
      </c>
      <c r="B19" s="36" t="s">
        <v>25</v>
      </c>
      <c r="C19" s="4"/>
      <c r="D19" s="20"/>
      <c r="E19" s="20"/>
      <c r="F19" s="20"/>
      <c r="G19" s="20"/>
      <c r="H19" s="20"/>
      <c r="I19" s="20">
        <f t="shared" si="1"/>
        <v>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75" customHeight="1">
      <c r="A20" s="36" t="s">
        <v>24</v>
      </c>
      <c r="B20" s="36" t="s">
        <v>26</v>
      </c>
      <c r="C20" s="4"/>
      <c r="D20" s="20"/>
      <c r="E20" s="20"/>
      <c r="F20" s="20"/>
      <c r="G20" s="20"/>
      <c r="H20" s="20"/>
      <c r="I20" s="20">
        <f t="shared" si="1"/>
        <v>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75" customHeight="1">
      <c r="A21" s="36" t="s">
        <v>27</v>
      </c>
      <c r="B21" s="36" t="s">
        <v>28</v>
      </c>
      <c r="C21" s="4"/>
      <c r="D21" s="20"/>
      <c r="E21" s="20"/>
      <c r="F21" s="20"/>
      <c r="G21" s="20"/>
      <c r="H21" s="20"/>
      <c r="I21" s="20">
        <f t="shared" si="1"/>
        <v>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75" customHeight="1">
      <c r="A22" s="36" t="s">
        <v>27</v>
      </c>
      <c r="B22" s="36" t="s">
        <v>29</v>
      </c>
      <c r="C22" s="4"/>
      <c r="D22" s="20"/>
      <c r="E22" s="20"/>
      <c r="F22" s="20"/>
      <c r="G22" s="20"/>
      <c r="H22" s="20"/>
      <c r="I22" s="20">
        <f t="shared" si="1"/>
        <v>0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75" customHeight="1">
      <c r="A23" s="36" t="s">
        <v>27</v>
      </c>
      <c r="B23" s="36" t="s">
        <v>30</v>
      </c>
      <c r="C23" s="4"/>
      <c r="D23" s="20"/>
      <c r="E23" s="20"/>
      <c r="F23" s="20"/>
      <c r="G23" s="20"/>
      <c r="H23" s="20"/>
      <c r="I23" s="20">
        <f t="shared" si="1"/>
        <v>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75" customHeight="1">
      <c r="A24" s="37" t="s">
        <v>31</v>
      </c>
      <c r="B24" s="37" t="s">
        <v>32</v>
      </c>
      <c r="C24" s="29"/>
      <c r="D24" s="30"/>
      <c r="E24" s="30"/>
      <c r="F24" s="30"/>
      <c r="G24" s="30"/>
      <c r="H24" s="30"/>
      <c r="I24" s="30">
        <f t="shared" si="1"/>
        <v>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75" customHeight="1">
      <c r="A25" s="37" t="s">
        <v>31</v>
      </c>
      <c r="B25" s="37" t="s">
        <v>33</v>
      </c>
      <c r="C25" s="29"/>
      <c r="D25" s="30"/>
      <c r="E25" s="30"/>
      <c r="F25" s="30"/>
      <c r="G25" s="30"/>
      <c r="H25" s="30"/>
      <c r="I25" s="30">
        <f t="shared" si="1"/>
        <v>0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75" customHeight="1">
      <c r="A26" s="37" t="s">
        <v>34</v>
      </c>
      <c r="B26" s="37" t="s">
        <v>35</v>
      </c>
      <c r="C26" s="29"/>
      <c r="D26" s="30"/>
      <c r="E26" s="30"/>
      <c r="F26" s="30"/>
      <c r="G26" s="30"/>
      <c r="H26" s="30"/>
      <c r="I26" s="30">
        <f t="shared" si="1"/>
        <v>0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75" customHeight="1">
      <c r="A27" s="37" t="s">
        <v>36</v>
      </c>
      <c r="B27" s="37" t="s">
        <v>37</v>
      </c>
      <c r="C27" s="29"/>
      <c r="D27" s="30"/>
      <c r="E27" s="38">
        <v>1.0</v>
      </c>
      <c r="F27" s="38">
        <v>1.0</v>
      </c>
      <c r="G27" s="38">
        <v>1.0</v>
      </c>
      <c r="H27" s="30"/>
      <c r="I27" s="30">
        <f t="shared" si="1"/>
        <v>3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75" customHeight="1">
      <c r="A28" s="37" t="s">
        <v>36</v>
      </c>
      <c r="B28" s="37" t="s">
        <v>38</v>
      </c>
      <c r="C28" s="29"/>
      <c r="D28" s="30"/>
      <c r="E28" s="38">
        <v>1.0</v>
      </c>
      <c r="F28" s="38">
        <v>0.0</v>
      </c>
      <c r="G28" s="38">
        <v>1.0</v>
      </c>
      <c r="H28" s="30"/>
      <c r="I28" s="30">
        <f t="shared" si="1"/>
        <v>2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0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0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8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A1:O1"/>
    <mergeCell ref="D3:F3"/>
    <mergeCell ref="G3:I3"/>
    <mergeCell ref="L3:N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2.0"/>
    <col customWidth="1" min="3" max="3" width="10.0"/>
    <col customWidth="1" min="4" max="15" width="16.0"/>
  </cols>
  <sheetData>
    <row r="1" ht="36.0" customHeight="1">
      <c r="A1" s="1" t="str">
        <f>"Attendance Sheet for "&amp;G3&amp;" - "&amp;O3&amp;""</f>
        <v>Attendance Sheet for April - 2025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/>
      <c r="B2" s="5"/>
      <c r="C2" s="5"/>
      <c r="D2" s="5"/>
      <c r="E2" s="5"/>
      <c r="F2" s="5"/>
      <c r="G2" s="5"/>
      <c r="H2" s="5"/>
      <c r="I2" s="5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0.0" customHeight="1">
      <c r="A3" s="6"/>
      <c r="B3" s="6"/>
      <c r="C3" s="8">
        <f>DATE(2025, MATCH($G$3, 'Month-Year List'!$A$2:$A$13, 0), 1)+ MOD(1 - WEEKDAY(DATE(2025, MATCH($G$3, 'Month-Year List'!$A$2:$A$13, 0), 1), 1), 7)</f>
        <v>45753</v>
      </c>
      <c r="D3" s="9" t="s">
        <v>0</v>
      </c>
      <c r="E3" s="10"/>
      <c r="F3" s="11"/>
      <c r="G3" s="32" t="s">
        <v>43</v>
      </c>
      <c r="H3" s="10"/>
      <c r="I3" s="11"/>
      <c r="J3" s="4"/>
      <c r="K3" s="4"/>
      <c r="L3" s="4"/>
      <c r="O3" s="13">
        <v>2025.0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5"/>
      <c r="B4" s="5"/>
      <c r="C4" s="5"/>
      <c r="D4" s="33" t="str">
        <f>LET( mo, MATCH($G$3,'Month-Year List'!$A$2:$A$13,0), first, $C$3, dt, first + 7*(COLUMNS($D4:D4)-1), IF(MONTH(dt)=mo, TEXT(dt,"ddd, mmm d"), ""))</f>
        <v>Sun, Apr 6</v>
      </c>
      <c r="E4" s="33" t="str">
        <f>LET( mo, MATCH($G$3,'Month-Year List'!$A$2:$A$13,0), first, $C$3, dt, first + 7*(COLUMNS($D4:E4)-1), IF(MONTH(dt)=mo, TEXT(dt,"ddd, mmm d"), ""))</f>
        <v>Sun, Apr 13</v>
      </c>
      <c r="F4" s="33" t="str">
        <f>LET( mo, MATCH($G$3,'Month-Year List'!$A$2:$A$13,0), first, $C$3, dt, first + 7*(COLUMNS($D4:F4)-1), IF(MONTH(dt)=mo, TEXT(dt,"ddd, mmm d"), ""))</f>
        <v>Sun, Apr 20</v>
      </c>
      <c r="G4" s="33" t="str">
        <f>LET( mo, MATCH($G$3,'Month-Year List'!$A$2:$A$13,0), first, $C$3, dt, first + 7*(COLUMNS($D4:G4)-1), IF(MONTH(dt)=mo, TEXT(dt,"ddd, mmm d"), ""))</f>
        <v>Sun, Apr 27</v>
      </c>
      <c r="H4" s="33" t="str">
        <f>LET( mo, MATCH($G$3,'Month-Year List'!$A$2:$A$13,0), first, $C$3, dt, first + 7*(COLUMNS($D4:H4)-1), IF(MONTH(dt)=mo, TEXT(dt,"ddd, mmm d"), ""))</f>
        <v/>
      </c>
      <c r="I4" s="33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5.5" customHeight="1">
      <c r="A5" s="14" t="s">
        <v>2</v>
      </c>
      <c r="B5" s="15" t="s">
        <v>3</v>
      </c>
      <c r="C5" s="34"/>
      <c r="D5" s="35"/>
      <c r="E5" s="35"/>
      <c r="F5" s="35"/>
      <c r="G5" s="35"/>
      <c r="H5" s="35"/>
      <c r="I5" s="35" t="s">
        <v>4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75" customHeight="1">
      <c r="A6" s="36" t="s">
        <v>5</v>
      </c>
      <c r="B6" s="36" t="s">
        <v>6</v>
      </c>
      <c r="C6" s="4"/>
      <c r="D6" s="20"/>
      <c r="E6" s="20"/>
      <c r="F6" s="20"/>
      <c r="G6" s="20"/>
      <c r="H6" s="20"/>
      <c r="I6" s="20">
        <f t="shared" ref="I6:I28" si="1">COUNTIF(D6:H6,1)</f>
        <v>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75" customHeight="1">
      <c r="A7" s="36" t="s">
        <v>5</v>
      </c>
      <c r="B7" s="36" t="s">
        <v>7</v>
      </c>
      <c r="C7" s="4"/>
      <c r="D7" s="20"/>
      <c r="E7" s="20"/>
      <c r="F7" s="20"/>
      <c r="G7" s="20"/>
      <c r="H7" s="20"/>
      <c r="I7" s="20">
        <f t="shared" si="1"/>
        <v>0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75" customHeight="1">
      <c r="A8" s="36" t="s">
        <v>8</v>
      </c>
      <c r="B8" s="36" t="s">
        <v>9</v>
      </c>
      <c r="C8" s="4"/>
      <c r="D8" s="20"/>
      <c r="E8" s="20"/>
      <c r="F8" s="20"/>
      <c r="G8" s="20"/>
      <c r="H8" s="20"/>
      <c r="I8" s="20">
        <f t="shared" si="1"/>
        <v>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75" customHeight="1">
      <c r="A9" s="36" t="s">
        <v>8</v>
      </c>
      <c r="B9" s="36" t="s">
        <v>10</v>
      </c>
      <c r="C9" s="4"/>
      <c r="D9" s="20"/>
      <c r="E9" s="20"/>
      <c r="F9" s="20"/>
      <c r="G9" s="20"/>
      <c r="H9" s="20"/>
      <c r="I9" s="20">
        <f t="shared" si="1"/>
        <v>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75" customHeight="1">
      <c r="A10" s="36" t="s">
        <v>11</v>
      </c>
      <c r="B10" s="36" t="s">
        <v>12</v>
      </c>
      <c r="C10" s="4"/>
      <c r="D10" s="20"/>
      <c r="E10" s="20"/>
      <c r="F10" s="20"/>
      <c r="G10" s="20"/>
      <c r="H10" s="20"/>
      <c r="I10" s="20">
        <f t="shared" si="1"/>
        <v>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75" customHeight="1">
      <c r="A11" s="36" t="s">
        <v>11</v>
      </c>
      <c r="B11" s="36" t="s">
        <v>13</v>
      </c>
      <c r="C11" s="4"/>
      <c r="D11" s="20"/>
      <c r="E11" s="20"/>
      <c r="F11" s="20"/>
      <c r="G11" s="20"/>
      <c r="H11" s="20"/>
      <c r="I11" s="20">
        <f t="shared" si="1"/>
        <v>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75" customHeight="1">
      <c r="A12" s="36" t="s">
        <v>14</v>
      </c>
      <c r="B12" s="36" t="s">
        <v>15</v>
      </c>
      <c r="C12" s="4"/>
      <c r="D12" s="20"/>
      <c r="E12" s="20"/>
      <c r="F12" s="20"/>
      <c r="G12" s="20"/>
      <c r="H12" s="20"/>
      <c r="I12" s="20">
        <f t="shared" si="1"/>
        <v>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75" customHeight="1">
      <c r="A13" s="36" t="s">
        <v>14</v>
      </c>
      <c r="B13" s="36" t="s">
        <v>16</v>
      </c>
      <c r="C13" s="4"/>
      <c r="D13" s="20"/>
      <c r="E13" s="20"/>
      <c r="F13" s="20"/>
      <c r="G13" s="20"/>
      <c r="H13" s="20"/>
      <c r="I13" s="20">
        <f t="shared" si="1"/>
        <v>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75" customHeight="1">
      <c r="A14" s="36" t="s">
        <v>17</v>
      </c>
      <c r="B14" s="36" t="s">
        <v>18</v>
      </c>
      <c r="C14" s="4"/>
      <c r="D14" s="20"/>
      <c r="E14" s="20"/>
      <c r="F14" s="20"/>
      <c r="G14" s="20"/>
      <c r="H14" s="20"/>
      <c r="I14" s="20">
        <f t="shared" si="1"/>
        <v>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75" customHeight="1">
      <c r="A15" s="36" t="s">
        <v>17</v>
      </c>
      <c r="B15" s="36" t="s">
        <v>19</v>
      </c>
      <c r="C15" s="4"/>
      <c r="D15" s="20"/>
      <c r="E15" s="20"/>
      <c r="F15" s="20"/>
      <c r="G15" s="20"/>
      <c r="H15" s="20"/>
      <c r="I15" s="20">
        <f t="shared" si="1"/>
        <v>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75" customHeight="1">
      <c r="A16" s="36" t="s">
        <v>20</v>
      </c>
      <c r="B16" s="36" t="s">
        <v>21</v>
      </c>
      <c r="C16" s="4"/>
      <c r="D16" s="20"/>
      <c r="E16" s="20"/>
      <c r="F16" s="20"/>
      <c r="G16" s="20"/>
      <c r="H16" s="20"/>
      <c r="I16" s="20">
        <f t="shared" si="1"/>
        <v>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75" customHeight="1">
      <c r="A17" s="36" t="s">
        <v>20</v>
      </c>
      <c r="B17" s="36" t="s">
        <v>40</v>
      </c>
      <c r="C17" s="4"/>
      <c r="D17" s="20"/>
      <c r="E17" s="20"/>
      <c r="F17" s="20"/>
      <c r="G17" s="20"/>
      <c r="H17" s="20"/>
      <c r="I17" s="20">
        <f t="shared" si="1"/>
        <v>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75" customHeight="1">
      <c r="A18" s="36" t="s">
        <v>20</v>
      </c>
      <c r="B18" s="36" t="s">
        <v>23</v>
      </c>
      <c r="C18" s="4"/>
      <c r="D18" s="20"/>
      <c r="E18" s="20"/>
      <c r="F18" s="20"/>
      <c r="G18" s="20"/>
      <c r="H18" s="20"/>
      <c r="I18" s="20">
        <f t="shared" si="1"/>
        <v>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75" customHeight="1">
      <c r="A19" s="36" t="s">
        <v>24</v>
      </c>
      <c r="B19" s="36" t="s">
        <v>25</v>
      </c>
      <c r="C19" s="4"/>
      <c r="D19" s="20"/>
      <c r="E19" s="20"/>
      <c r="F19" s="20"/>
      <c r="G19" s="20"/>
      <c r="H19" s="20"/>
      <c r="I19" s="20">
        <f t="shared" si="1"/>
        <v>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75" customHeight="1">
      <c r="A20" s="36" t="s">
        <v>24</v>
      </c>
      <c r="B20" s="36" t="s">
        <v>26</v>
      </c>
      <c r="C20" s="4"/>
      <c r="D20" s="20"/>
      <c r="E20" s="20"/>
      <c r="F20" s="20"/>
      <c r="G20" s="20"/>
      <c r="H20" s="20"/>
      <c r="I20" s="20">
        <f t="shared" si="1"/>
        <v>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75" customHeight="1">
      <c r="A21" s="36" t="s">
        <v>27</v>
      </c>
      <c r="B21" s="36" t="s">
        <v>28</v>
      </c>
      <c r="C21" s="4"/>
      <c r="D21" s="20"/>
      <c r="E21" s="20"/>
      <c r="F21" s="20"/>
      <c r="G21" s="20"/>
      <c r="H21" s="20"/>
      <c r="I21" s="20">
        <f t="shared" si="1"/>
        <v>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75" customHeight="1">
      <c r="A22" s="36" t="s">
        <v>27</v>
      </c>
      <c r="B22" s="36" t="s">
        <v>29</v>
      </c>
      <c r="C22" s="4"/>
      <c r="D22" s="20"/>
      <c r="E22" s="20"/>
      <c r="F22" s="20"/>
      <c r="G22" s="20"/>
      <c r="H22" s="20"/>
      <c r="I22" s="20">
        <f t="shared" si="1"/>
        <v>0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75" customHeight="1">
      <c r="A23" s="36" t="s">
        <v>27</v>
      </c>
      <c r="B23" s="36" t="s">
        <v>30</v>
      </c>
      <c r="C23" s="4"/>
      <c r="D23" s="20"/>
      <c r="E23" s="20"/>
      <c r="F23" s="20"/>
      <c r="G23" s="20"/>
      <c r="H23" s="20"/>
      <c r="I23" s="20">
        <f t="shared" si="1"/>
        <v>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75" customHeight="1">
      <c r="A24" s="37" t="s">
        <v>31</v>
      </c>
      <c r="B24" s="37" t="s">
        <v>32</v>
      </c>
      <c r="C24" s="29"/>
      <c r="D24" s="30"/>
      <c r="E24" s="30"/>
      <c r="F24" s="30"/>
      <c r="G24" s="30"/>
      <c r="H24" s="30"/>
      <c r="I24" s="30">
        <f t="shared" si="1"/>
        <v>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75" customHeight="1">
      <c r="A25" s="37" t="s">
        <v>31</v>
      </c>
      <c r="B25" s="37" t="s">
        <v>33</v>
      </c>
      <c r="C25" s="29"/>
      <c r="D25" s="30"/>
      <c r="E25" s="30"/>
      <c r="F25" s="30"/>
      <c r="G25" s="30"/>
      <c r="H25" s="30"/>
      <c r="I25" s="30">
        <f t="shared" si="1"/>
        <v>0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75" customHeight="1">
      <c r="A26" s="37" t="s">
        <v>34</v>
      </c>
      <c r="B26" s="37" t="s">
        <v>35</v>
      </c>
      <c r="C26" s="29"/>
      <c r="D26" s="30"/>
      <c r="E26" s="30"/>
      <c r="F26" s="30"/>
      <c r="G26" s="30"/>
      <c r="H26" s="30"/>
      <c r="I26" s="30">
        <f t="shared" si="1"/>
        <v>0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75" customHeight="1">
      <c r="A27" s="37" t="s">
        <v>36</v>
      </c>
      <c r="B27" s="37" t="s">
        <v>37</v>
      </c>
      <c r="C27" s="29"/>
      <c r="D27" s="30"/>
      <c r="E27" s="38">
        <v>1.0</v>
      </c>
      <c r="F27" s="38">
        <v>1.0</v>
      </c>
      <c r="G27" s="30"/>
      <c r="H27" s="30"/>
      <c r="I27" s="30">
        <f t="shared" si="1"/>
        <v>2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75" customHeight="1">
      <c r="A28" s="37" t="s">
        <v>36</v>
      </c>
      <c r="B28" s="37" t="s">
        <v>38</v>
      </c>
      <c r="C28" s="29"/>
      <c r="D28" s="30"/>
      <c r="E28" s="38">
        <v>1.0</v>
      </c>
      <c r="F28" s="38">
        <v>0.0</v>
      </c>
      <c r="G28" s="30"/>
      <c r="H28" s="30"/>
      <c r="I28" s="30">
        <f t="shared" si="1"/>
        <v>1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0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0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8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A1:O1"/>
    <mergeCell ref="D3:F3"/>
    <mergeCell ref="G3:I3"/>
    <mergeCell ref="L3:N3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2.0"/>
    <col customWidth="1" min="3" max="3" width="10.0"/>
    <col customWidth="1" min="4" max="15" width="16.0"/>
  </cols>
  <sheetData>
    <row r="1" ht="36.0" customHeight="1">
      <c r="A1" s="1" t="str">
        <f>"Attendance Sheet for "&amp;G3&amp;" - "&amp;O3&amp;""</f>
        <v>Attendance Sheet for May - 2025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/>
      <c r="B2" s="5"/>
      <c r="C2" s="5"/>
      <c r="D2" s="5"/>
      <c r="E2" s="5"/>
      <c r="F2" s="5"/>
      <c r="G2" s="5"/>
      <c r="H2" s="5"/>
      <c r="I2" s="5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0.0" customHeight="1">
      <c r="A3" s="6"/>
      <c r="B3" s="6"/>
      <c r="C3" s="8">
        <f>DATE(2025, MATCH($G$3, 'Month-Year List'!$A$2:$A$13, 0), 1)+ MOD(1 - WEEKDAY(DATE(2025, MATCH($G$3, 'Month-Year List'!$A$2:$A$13, 0), 1), 1), 7)</f>
        <v>45781</v>
      </c>
      <c r="D3" s="9" t="s">
        <v>0</v>
      </c>
      <c r="E3" s="10"/>
      <c r="F3" s="11"/>
      <c r="G3" s="32" t="s">
        <v>44</v>
      </c>
      <c r="H3" s="10"/>
      <c r="I3" s="11"/>
      <c r="J3" s="4"/>
      <c r="K3" s="4"/>
      <c r="L3" s="4"/>
      <c r="O3" s="13">
        <v>2025.0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5"/>
      <c r="B4" s="5"/>
      <c r="C4" s="5"/>
      <c r="D4" s="33" t="str">
        <f>LET( mo, MATCH($G$3,'Month-Year List'!$A$2:$A$13,0), first, $C$3, dt, first + 7*(COLUMNS($D4:D4)-1), IF(MONTH(dt)=mo, TEXT(dt,"ddd, mmm d"), ""))</f>
        <v>Sun, May 4</v>
      </c>
      <c r="E4" s="33" t="str">
        <f>LET( mo, MATCH($G$3,'Month-Year List'!$A$2:$A$13,0), first, $C$3, dt, first + 7*(COLUMNS($D4:E4)-1), IF(MONTH(dt)=mo, TEXT(dt,"ddd, mmm d"), ""))</f>
        <v>Sun, May 11</v>
      </c>
      <c r="F4" s="33" t="str">
        <f>LET( mo, MATCH($G$3,'Month-Year List'!$A$2:$A$13,0), first, $C$3, dt, first + 7*(COLUMNS($D4:F4)-1), IF(MONTH(dt)=mo, TEXT(dt,"ddd, mmm d"), ""))</f>
        <v>Sun, May 18</v>
      </c>
      <c r="G4" s="33" t="str">
        <f>LET( mo, MATCH($G$3,'Month-Year List'!$A$2:$A$13,0), first, $C$3, dt, first + 7*(COLUMNS($D4:G4)-1), IF(MONTH(dt)=mo, TEXT(dt,"ddd, mmm d"), ""))</f>
        <v>Sun, May 25</v>
      </c>
      <c r="H4" s="33" t="str">
        <f>LET( mo, MATCH($G$3,'Month-Year List'!$A$2:$A$13,0), first, $C$3, dt, first + 7*(COLUMNS($D4:H4)-1), IF(MONTH(dt)=mo, TEXT(dt,"ddd, mmm d"), ""))</f>
        <v/>
      </c>
      <c r="I4" s="33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5.5" customHeight="1">
      <c r="A5" s="14" t="s">
        <v>2</v>
      </c>
      <c r="B5" s="15" t="s">
        <v>3</v>
      </c>
      <c r="C5" s="34"/>
      <c r="D5" s="35"/>
      <c r="E5" s="35"/>
      <c r="F5" s="35"/>
      <c r="G5" s="35"/>
      <c r="H5" s="35"/>
      <c r="I5" s="35" t="s">
        <v>4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75" customHeight="1">
      <c r="A6" s="36" t="s">
        <v>5</v>
      </c>
      <c r="B6" s="36" t="s">
        <v>6</v>
      </c>
      <c r="C6" s="4"/>
      <c r="D6" s="20"/>
      <c r="E6" s="20"/>
      <c r="F6" s="20"/>
      <c r="G6" s="20"/>
      <c r="H6" s="20"/>
      <c r="I6" s="20">
        <f t="shared" ref="I6:I28" si="1">COUNTIF(D6:H6,1)</f>
        <v>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75" customHeight="1">
      <c r="A7" s="36" t="s">
        <v>5</v>
      </c>
      <c r="B7" s="36" t="s">
        <v>7</v>
      </c>
      <c r="C7" s="4"/>
      <c r="D7" s="20"/>
      <c r="E7" s="20"/>
      <c r="F7" s="20"/>
      <c r="G7" s="20"/>
      <c r="H7" s="20"/>
      <c r="I7" s="20">
        <f t="shared" si="1"/>
        <v>0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75" customHeight="1">
      <c r="A8" s="36" t="s">
        <v>8</v>
      </c>
      <c r="B8" s="36" t="s">
        <v>9</v>
      </c>
      <c r="C8" s="4"/>
      <c r="D8" s="20"/>
      <c r="E8" s="20"/>
      <c r="F8" s="20"/>
      <c r="G8" s="20"/>
      <c r="H8" s="20"/>
      <c r="I8" s="20">
        <f t="shared" si="1"/>
        <v>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75" customHeight="1">
      <c r="A9" s="36" t="s">
        <v>8</v>
      </c>
      <c r="B9" s="36" t="s">
        <v>10</v>
      </c>
      <c r="C9" s="4"/>
      <c r="D9" s="20"/>
      <c r="E9" s="20"/>
      <c r="F9" s="20"/>
      <c r="G9" s="20"/>
      <c r="H9" s="20"/>
      <c r="I9" s="20">
        <f t="shared" si="1"/>
        <v>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75" customHeight="1">
      <c r="A10" s="36" t="s">
        <v>11</v>
      </c>
      <c r="B10" s="36" t="s">
        <v>12</v>
      </c>
      <c r="C10" s="4"/>
      <c r="D10" s="20"/>
      <c r="E10" s="20"/>
      <c r="F10" s="20"/>
      <c r="G10" s="20"/>
      <c r="H10" s="20"/>
      <c r="I10" s="20">
        <f t="shared" si="1"/>
        <v>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75" customHeight="1">
      <c r="A11" s="36" t="s">
        <v>11</v>
      </c>
      <c r="B11" s="36" t="s">
        <v>13</v>
      </c>
      <c r="C11" s="4"/>
      <c r="D11" s="20"/>
      <c r="E11" s="20"/>
      <c r="F11" s="20"/>
      <c r="G11" s="20"/>
      <c r="H11" s="20"/>
      <c r="I11" s="20">
        <f t="shared" si="1"/>
        <v>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75" customHeight="1">
      <c r="A12" s="36" t="s">
        <v>14</v>
      </c>
      <c r="B12" s="36" t="s">
        <v>15</v>
      </c>
      <c r="C12" s="4"/>
      <c r="D12" s="20"/>
      <c r="E12" s="20"/>
      <c r="F12" s="20"/>
      <c r="G12" s="20"/>
      <c r="H12" s="20"/>
      <c r="I12" s="20">
        <f t="shared" si="1"/>
        <v>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75" customHeight="1">
      <c r="A13" s="36" t="s">
        <v>14</v>
      </c>
      <c r="B13" s="36" t="s">
        <v>16</v>
      </c>
      <c r="C13" s="4"/>
      <c r="D13" s="20"/>
      <c r="E13" s="20"/>
      <c r="F13" s="20"/>
      <c r="G13" s="20"/>
      <c r="H13" s="20"/>
      <c r="I13" s="20">
        <f t="shared" si="1"/>
        <v>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75" customHeight="1">
      <c r="A14" s="36" t="s">
        <v>17</v>
      </c>
      <c r="B14" s="36" t="s">
        <v>18</v>
      </c>
      <c r="C14" s="4"/>
      <c r="D14" s="20"/>
      <c r="E14" s="20"/>
      <c r="F14" s="20"/>
      <c r="G14" s="20"/>
      <c r="H14" s="20"/>
      <c r="I14" s="20">
        <f t="shared" si="1"/>
        <v>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75" customHeight="1">
      <c r="A15" s="36" t="s">
        <v>17</v>
      </c>
      <c r="B15" s="36" t="s">
        <v>19</v>
      </c>
      <c r="C15" s="4"/>
      <c r="D15" s="20"/>
      <c r="E15" s="20"/>
      <c r="F15" s="20"/>
      <c r="G15" s="20"/>
      <c r="H15" s="20"/>
      <c r="I15" s="20">
        <f t="shared" si="1"/>
        <v>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75" customHeight="1">
      <c r="A16" s="36" t="s">
        <v>20</v>
      </c>
      <c r="B16" s="36" t="s">
        <v>21</v>
      </c>
      <c r="C16" s="4"/>
      <c r="D16" s="20"/>
      <c r="E16" s="20"/>
      <c r="F16" s="20"/>
      <c r="G16" s="20"/>
      <c r="H16" s="20"/>
      <c r="I16" s="20">
        <f t="shared" si="1"/>
        <v>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75" customHeight="1">
      <c r="A17" s="36" t="s">
        <v>20</v>
      </c>
      <c r="B17" s="36" t="s">
        <v>40</v>
      </c>
      <c r="C17" s="4"/>
      <c r="D17" s="20"/>
      <c r="E17" s="20"/>
      <c r="F17" s="20"/>
      <c r="G17" s="20"/>
      <c r="H17" s="20"/>
      <c r="I17" s="20">
        <f t="shared" si="1"/>
        <v>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75" customHeight="1">
      <c r="A18" s="36" t="s">
        <v>20</v>
      </c>
      <c r="B18" s="36" t="s">
        <v>23</v>
      </c>
      <c r="C18" s="4"/>
      <c r="D18" s="20"/>
      <c r="E18" s="20"/>
      <c r="F18" s="20"/>
      <c r="G18" s="20"/>
      <c r="H18" s="20"/>
      <c r="I18" s="20">
        <f t="shared" si="1"/>
        <v>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75" customHeight="1">
      <c r="A19" s="36" t="s">
        <v>24</v>
      </c>
      <c r="B19" s="36" t="s">
        <v>25</v>
      </c>
      <c r="C19" s="4"/>
      <c r="D19" s="20"/>
      <c r="E19" s="20"/>
      <c r="F19" s="20"/>
      <c r="G19" s="20"/>
      <c r="H19" s="20"/>
      <c r="I19" s="20">
        <f t="shared" si="1"/>
        <v>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75" customHeight="1">
      <c r="A20" s="36" t="s">
        <v>24</v>
      </c>
      <c r="B20" s="36" t="s">
        <v>26</v>
      </c>
      <c r="C20" s="4"/>
      <c r="D20" s="20"/>
      <c r="E20" s="20"/>
      <c r="F20" s="20"/>
      <c r="G20" s="20"/>
      <c r="H20" s="20"/>
      <c r="I20" s="20">
        <f t="shared" si="1"/>
        <v>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75" customHeight="1">
      <c r="A21" s="36" t="s">
        <v>27</v>
      </c>
      <c r="B21" s="36" t="s">
        <v>28</v>
      </c>
      <c r="C21" s="4"/>
      <c r="D21" s="20"/>
      <c r="E21" s="20"/>
      <c r="F21" s="20"/>
      <c r="G21" s="20"/>
      <c r="H21" s="20"/>
      <c r="I21" s="20">
        <f t="shared" si="1"/>
        <v>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75" customHeight="1">
      <c r="A22" s="36" t="s">
        <v>27</v>
      </c>
      <c r="B22" s="36" t="s">
        <v>29</v>
      </c>
      <c r="C22" s="4"/>
      <c r="D22" s="20"/>
      <c r="E22" s="20"/>
      <c r="F22" s="20"/>
      <c r="G22" s="20"/>
      <c r="H22" s="20"/>
      <c r="I22" s="20">
        <f t="shared" si="1"/>
        <v>0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75" customHeight="1">
      <c r="A23" s="36" t="s">
        <v>27</v>
      </c>
      <c r="B23" s="36" t="s">
        <v>30</v>
      </c>
      <c r="C23" s="4"/>
      <c r="D23" s="20"/>
      <c r="E23" s="20"/>
      <c r="F23" s="20"/>
      <c r="G23" s="20"/>
      <c r="H23" s="20"/>
      <c r="I23" s="20">
        <f t="shared" si="1"/>
        <v>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75" customHeight="1">
      <c r="A24" s="37" t="s">
        <v>31</v>
      </c>
      <c r="B24" s="37" t="s">
        <v>32</v>
      </c>
      <c r="C24" s="29"/>
      <c r="D24" s="30"/>
      <c r="E24" s="30"/>
      <c r="F24" s="30"/>
      <c r="G24" s="30"/>
      <c r="H24" s="30"/>
      <c r="I24" s="30">
        <f t="shared" si="1"/>
        <v>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75" customHeight="1">
      <c r="A25" s="37" t="s">
        <v>31</v>
      </c>
      <c r="B25" s="37" t="s">
        <v>33</v>
      </c>
      <c r="C25" s="29"/>
      <c r="D25" s="30"/>
      <c r="E25" s="30"/>
      <c r="F25" s="30"/>
      <c r="G25" s="30"/>
      <c r="H25" s="30"/>
      <c r="I25" s="30">
        <f t="shared" si="1"/>
        <v>0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75" customHeight="1">
      <c r="A26" s="37" t="s">
        <v>34</v>
      </c>
      <c r="B26" s="37" t="s">
        <v>35</v>
      </c>
      <c r="C26" s="29"/>
      <c r="D26" s="30"/>
      <c r="E26" s="30"/>
      <c r="F26" s="30"/>
      <c r="G26" s="30"/>
      <c r="H26" s="30"/>
      <c r="I26" s="30">
        <f t="shared" si="1"/>
        <v>0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75" customHeight="1">
      <c r="A27" s="37" t="s">
        <v>36</v>
      </c>
      <c r="B27" s="37" t="s">
        <v>37</v>
      </c>
      <c r="C27" s="29"/>
      <c r="D27" s="38">
        <v>1.0</v>
      </c>
      <c r="E27" s="30"/>
      <c r="F27" s="30"/>
      <c r="G27" s="30"/>
      <c r="H27" s="30"/>
      <c r="I27" s="30">
        <f t="shared" si="1"/>
        <v>1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75" customHeight="1">
      <c r="A28" s="37" t="s">
        <v>36</v>
      </c>
      <c r="B28" s="37" t="s">
        <v>38</v>
      </c>
      <c r="C28" s="29"/>
      <c r="D28" s="38">
        <v>1.0</v>
      </c>
      <c r="E28" s="30"/>
      <c r="F28" s="30"/>
      <c r="G28" s="30"/>
      <c r="H28" s="30"/>
      <c r="I28" s="30">
        <f t="shared" si="1"/>
        <v>1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0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0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8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A1:O1"/>
    <mergeCell ref="D3:F3"/>
    <mergeCell ref="G3:I3"/>
    <mergeCell ref="L3:N3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2.0"/>
    <col customWidth="1" min="3" max="3" width="10.0"/>
    <col customWidth="1" min="4" max="15" width="16.0"/>
  </cols>
  <sheetData>
    <row r="1" ht="36.0" customHeight="1">
      <c r="A1" s="1" t="str">
        <f>"Attendance Sheet for "&amp;G3&amp;" - "&amp;O3&amp;""</f>
        <v>Attendance Sheet for June - 2025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/>
      <c r="B2" s="5"/>
      <c r="C2" s="5"/>
      <c r="D2" s="5"/>
      <c r="E2" s="5"/>
      <c r="F2" s="5"/>
      <c r="G2" s="5"/>
      <c r="H2" s="5"/>
      <c r="I2" s="5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0.0" customHeight="1">
      <c r="A3" s="6"/>
      <c r="B3" s="6"/>
      <c r="C3" s="8">
        <f>DATE(2025, MATCH($G$3, 'Month-Year List'!$A$2:$A$13, 0), 1)+ MOD(1 - WEEKDAY(DATE(2025, MATCH($G$3, 'Month-Year List'!$A$2:$A$13, 0), 1), 1), 7)</f>
        <v>45809</v>
      </c>
      <c r="D3" s="9" t="s">
        <v>0</v>
      </c>
      <c r="E3" s="10"/>
      <c r="F3" s="11"/>
      <c r="G3" s="32" t="s">
        <v>45</v>
      </c>
      <c r="H3" s="10"/>
      <c r="I3" s="11"/>
      <c r="J3" s="4"/>
      <c r="K3" s="4"/>
      <c r="L3" s="4"/>
      <c r="O3" s="13">
        <v>2025.0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5"/>
      <c r="B4" s="5"/>
      <c r="C4" s="5"/>
      <c r="D4" s="33" t="str">
        <f>LET( mo, MATCH($G$3,'Month-Year List'!$A$2:$A$13,0), first, $C$3, dt, first + 7*(COLUMNS($D4:D4)-1), IF(MONTH(dt)=mo, TEXT(dt,"ddd, mmm d"), ""))</f>
        <v>Sun, Jun 1</v>
      </c>
      <c r="E4" s="33" t="str">
        <f>LET( mo, MATCH($G$3,'Month-Year List'!$A$2:$A$13,0), first, $C$3, dt, first + 7*(COLUMNS($D4:E4)-1), IF(MONTH(dt)=mo, TEXT(dt,"ddd, mmm d"), ""))</f>
        <v>Sun, Jun 8</v>
      </c>
      <c r="F4" s="33" t="str">
        <f>LET( mo, MATCH($G$3,'Month-Year List'!$A$2:$A$13,0), first, $C$3, dt, first + 7*(COLUMNS($D4:F4)-1), IF(MONTH(dt)=mo, TEXT(dt,"ddd, mmm d"), ""))</f>
        <v>Sun, Jun 15</v>
      </c>
      <c r="G4" s="33" t="str">
        <f>LET( mo, MATCH($G$3,'Month-Year List'!$A$2:$A$13,0), first, $C$3, dt, first + 7*(COLUMNS($D4:G4)-1), IF(MONTH(dt)=mo, TEXT(dt,"ddd, mmm d"), ""))</f>
        <v>Sun, Jun 22</v>
      </c>
      <c r="H4" s="33" t="str">
        <f>LET( mo, MATCH($G$3,'Month-Year List'!$A$2:$A$13,0), first, $C$3, dt, first + 7*(COLUMNS($D4:H4)-1), IF(MONTH(dt)=mo, TEXT(dt,"ddd, mmm d"), ""))</f>
        <v>Sun, Jun 29</v>
      </c>
      <c r="I4" s="33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5.5" customHeight="1">
      <c r="A5" s="14" t="s">
        <v>2</v>
      </c>
      <c r="B5" s="15" t="s">
        <v>3</v>
      </c>
      <c r="C5" s="34"/>
      <c r="D5" s="35"/>
      <c r="E5" s="35"/>
      <c r="F5" s="35"/>
      <c r="G5" s="35"/>
      <c r="H5" s="35"/>
      <c r="I5" s="35" t="s">
        <v>4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75" customHeight="1">
      <c r="A6" s="36" t="s">
        <v>5</v>
      </c>
      <c r="B6" s="36" t="s">
        <v>6</v>
      </c>
      <c r="C6" s="4"/>
      <c r="D6" s="20"/>
      <c r="E6" s="20"/>
      <c r="F6" s="20"/>
      <c r="G6" s="20"/>
      <c r="H6" s="20"/>
      <c r="I6" s="20">
        <f t="shared" ref="I6:I28" si="1">COUNTIF(D6:H6,1)</f>
        <v>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75" customHeight="1">
      <c r="A7" s="36" t="s">
        <v>5</v>
      </c>
      <c r="B7" s="36" t="s">
        <v>7</v>
      </c>
      <c r="C7" s="4"/>
      <c r="D7" s="20"/>
      <c r="E7" s="20"/>
      <c r="F7" s="20"/>
      <c r="G7" s="20"/>
      <c r="H7" s="20"/>
      <c r="I7" s="20">
        <f t="shared" si="1"/>
        <v>0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75" customHeight="1">
      <c r="A8" s="36" t="s">
        <v>8</v>
      </c>
      <c r="B8" s="36" t="s">
        <v>9</v>
      </c>
      <c r="C8" s="4"/>
      <c r="D8" s="20"/>
      <c r="E8" s="20"/>
      <c r="F8" s="20"/>
      <c r="G8" s="20"/>
      <c r="H8" s="20"/>
      <c r="I8" s="20">
        <f t="shared" si="1"/>
        <v>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75" customHeight="1">
      <c r="A9" s="36" t="s">
        <v>8</v>
      </c>
      <c r="B9" s="36" t="s">
        <v>10</v>
      </c>
      <c r="C9" s="4"/>
      <c r="D9" s="20"/>
      <c r="E9" s="20"/>
      <c r="F9" s="20"/>
      <c r="G9" s="20"/>
      <c r="H9" s="20"/>
      <c r="I9" s="20">
        <f t="shared" si="1"/>
        <v>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75" customHeight="1">
      <c r="A10" s="36" t="s">
        <v>11</v>
      </c>
      <c r="B10" s="36" t="s">
        <v>12</v>
      </c>
      <c r="C10" s="4"/>
      <c r="D10" s="20"/>
      <c r="E10" s="20"/>
      <c r="F10" s="20"/>
      <c r="G10" s="20"/>
      <c r="H10" s="20"/>
      <c r="I10" s="20">
        <f t="shared" si="1"/>
        <v>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75" customHeight="1">
      <c r="A11" s="36" t="s">
        <v>11</v>
      </c>
      <c r="B11" s="36" t="s">
        <v>13</v>
      </c>
      <c r="C11" s="4"/>
      <c r="D11" s="20"/>
      <c r="E11" s="20"/>
      <c r="F11" s="20"/>
      <c r="G11" s="20"/>
      <c r="H11" s="20"/>
      <c r="I11" s="20">
        <f t="shared" si="1"/>
        <v>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75" customHeight="1">
      <c r="A12" s="36" t="s">
        <v>14</v>
      </c>
      <c r="B12" s="36" t="s">
        <v>15</v>
      </c>
      <c r="C12" s="4"/>
      <c r="D12" s="20"/>
      <c r="E12" s="20"/>
      <c r="F12" s="20"/>
      <c r="G12" s="20"/>
      <c r="H12" s="20"/>
      <c r="I12" s="20">
        <f t="shared" si="1"/>
        <v>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75" customHeight="1">
      <c r="A13" s="36" t="s">
        <v>14</v>
      </c>
      <c r="B13" s="36" t="s">
        <v>16</v>
      </c>
      <c r="C13" s="4"/>
      <c r="D13" s="20"/>
      <c r="E13" s="20"/>
      <c r="F13" s="20"/>
      <c r="G13" s="20"/>
      <c r="H13" s="20"/>
      <c r="I13" s="20">
        <f t="shared" si="1"/>
        <v>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75" customHeight="1">
      <c r="A14" s="36" t="s">
        <v>17</v>
      </c>
      <c r="B14" s="36" t="s">
        <v>18</v>
      </c>
      <c r="C14" s="4"/>
      <c r="D14" s="20"/>
      <c r="E14" s="20"/>
      <c r="F14" s="20"/>
      <c r="G14" s="20"/>
      <c r="H14" s="20"/>
      <c r="I14" s="20">
        <f t="shared" si="1"/>
        <v>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75" customHeight="1">
      <c r="A15" s="36" t="s">
        <v>17</v>
      </c>
      <c r="B15" s="36" t="s">
        <v>19</v>
      </c>
      <c r="C15" s="4"/>
      <c r="D15" s="20"/>
      <c r="E15" s="20"/>
      <c r="F15" s="20"/>
      <c r="G15" s="20"/>
      <c r="H15" s="20"/>
      <c r="I15" s="20">
        <f t="shared" si="1"/>
        <v>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75" customHeight="1">
      <c r="A16" s="36" t="s">
        <v>20</v>
      </c>
      <c r="B16" s="36" t="s">
        <v>21</v>
      </c>
      <c r="C16" s="4"/>
      <c r="D16" s="20"/>
      <c r="E16" s="20"/>
      <c r="F16" s="20"/>
      <c r="G16" s="20"/>
      <c r="H16" s="20"/>
      <c r="I16" s="20">
        <f t="shared" si="1"/>
        <v>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75" customHeight="1">
      <c r="A17" s="36" t="s">
        <v>20</v>
      </c>
      <c r="B17" s="36" t="s">
        <v>40</v>
      </c>
      <c r="C17" s="4"/>
      <c r="D17" s="20"/>
      <c r="E17" s="20"/>
      <c r="F17" s="20"/>
      <c r="G17" s="20"/>
      <c r="H17" s="20"/>
      <c r="I17" s="20">
        <f t="shared" si="1"/>
        <v>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75" customHeight="1">
      <c r="A18" s="36" t="s">
        <v>20</v>
      </c>
      <c r="B18" s="36" t="s">
        <v>23</v>
      </c>
      <c r="C18" s="4"/>
      <c r="D18" s="20"/>
      <c r="E18" s="20"/>
      <c r="F18" s="20"/>
      <c r="G18" s="20"/>
      <c r="H18" s="20"/>
      <c r="I18" s="20">
        <f t="shared" si="1"/>
        <v>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75" customHeight="1">
      <c r="A19" s="36" t="s">
        <v>24</v>
      </c>
      <c r="B19" s="36" t="s">
        <v>25</v>
      </c>
      <c r="C19" s="4"/>
      <c r="D19" s="20"/>
      <c r="E19" s="20"/>
      <c r="F19" s="20"/>
      <c r="G19" s="20"/>
      <c r="H19" s="20"/>
      <c r="I19" s="20">
        <f t="shared" si="1"/>
        <v>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75" customHeight="1">
      <c r="A20" s="36" t="s">
        <v>24</v>
      </c>
      <c r="B20" s="36" t="s">
        <v>26</v>
      </c>
      <c r="C20" s="4"/>
      <c r="D20" s="20"/>
      <c r="E20" s="20"/>
      <c r="F20" s="20"/>
      <c r="G20" s="20"/>
      <c r="H20" s="20"/>
      <c r="I20" s="20">
        <f t="shared" si="1"/>
        <v>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75" customHeight="1">
      <c r="A21" s="36" t="s">
        <v>27</v>
      </c>
      <c r="B21" s="36" t="s">
        <v>28</v>
      </c>
      <c r="C21" s="4"/>
      <c r="D21" s="20"/>
      <c r="E21" s="20"/>
      <c r="F21" s="20"/>
      <c r="G21" s="20"/>
      <c r="H21" s="20"/>
      <c r="I21" s="20">
        <f t="shared" si="1"/>
        <v>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75" customHeight="1">
      <c r="A22" s="36" t="s">
        <v>27</v>
      </c>
      <c r="B22" s="36" t="s">
        <v>29</v>
      </c>
      <c r="C22" s="4"/>
      <c r="D22" s="20"/>
      <c r="E22" s="20"/>
      <c r="F22" s="20"/>
      <c r="G22" s="20"/>
      <c r="H22" s="20"/>
      <c r="I22" s="20">
        <f t="shared" si="1"/>
        <v>0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75" customHeight="1">
      <c r="A23" s="36" t="s">
        <v>27</v>
      </c>
      <c r="B23" s="36" t="s">
        <v>30</v>
      </c>
      <c r="C23" s="4"/>
      <c r="D23" s="20"/>
      <c r="E23" s="20"/>
      <c r="F23" s="20"/>
      <c r="G23" s="20"/>
      <c r="H23" s="20"/>
      <c r="I23" s="20">
        <f t="shared" si="1"/>
        <v>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75" customHeight="1">
      <c r="A24" s="37" t="s">
        <v>31</v>
      </c>
      <c r="B24" s="37" t="s">
        <v>32</v>
      </c>
      <c r="C24" s="29"/>
      <c r="D24" s="30"/>
      <c r="E24" s="30"/>
      <c r="F24" s="30"/>
      <c r="G24" s="30"/>
      <c r="H24" s="30"/>
      <c r="I24" s="30">
        <f t="shared" si="1"/>
        <v>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75" customHeight="1">
      <c r="A25" s="37" t="s">
        <v>31</v>
      </c>
      <c r="B25" s="37" t="s">
        <v>33</v>
      </c>
      <c r="C25" s="29"/>
      <c r="D25" s="30"/>
      <c r="E25" s="30"/>
      <c r="F25" s="30"/>
      <c r="G25" s="30"/>
      <c r="H25" s="30"/>
      <c r="I25" s="30">
        <f t="shared" si="1"/>
        <v>0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75" customHeight="1">
      <c r="A26" s="37" t="s">
        <v>34</v>
      </c>
      <c r="B26" s="37" t="s">
        <v>35</v>
      </c>
      <c r="C26" s="29"/>
      <c r="D26" s="30"/>
      <c r="E26" s="30"/>
      <c r="F26" s="30"/>
      <c r="G26" s="30"/>
      <c r="H26" s="30"/>
      <c r="I26" s="30">
        <f t="shared" si="1"/>
        <v>0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75" customHeight="1">
      <c r="A27" s="37" t="s">
        <v>36</v>
      </c>
      <c r="B27" s="37" t="s">
        <v>37</v>
      </c>
      <c r="C27" s="29"/>
      <c r="D27" s="30"/>
      <c r="E27" s="30"/>
      <c r="F27" s="30"/>
      <c r="G27" s="30"/>
      <c r="H27" s="30"/>
      <c r="I27" s="30">
        <f t="shared" si="1"/>
        <v>0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75" customHeight="1">
      <c r="A28" s="37" t="s">
        <v>36</v>
      </c>
      <c r="B28" s="37" t="s">
        <v>38</v>
      </c>
      <c r="C28" s="29"/>
      <c r="D28" s="30"/>
      <c r="E28" s="30"/>
      <c r="F28" s="30"/>
      <c r="G28" s="30"/>
      <c r="H28" s="30"/>
      <c r="I28" s="30">
        <f t="shared" si="1"/>
        <v>0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0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0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8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A1:O1"/>
    <mergeCell ref="D3:F3"/>
    <mergeCell ref="G3:I3"/>
    <mergeCell ref="L3:N3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2.0"/>
    <col customWidth="1" min="3" max="3" width="10.0"/>
    <col customWidth="1" min="4" max="15" width="16.0"/>
  </cols>
  <sheetData>
    <row r="1" ht="36.0" customHeight="1">
      <c r="A1" s="1" t="str">
        <f>"Attendance Sheet for "&amp;G3&amp;" - "&amp;O3&amp;""</f>
        <v>Attendance Sheet for July - 2025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/>
      <c r="B2" s="5"/>
      <c r="C2" s="5"/>
      <c r="D2" s="5"/>
      <c r="E2" s="5"/>
      <c r="F2" s="5"/>
      <c r="G2" s="5"/>
      <c r="H2" s="5"/>
      <c r="I2" s="5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0.0" customHeight="1">
      <c r="A3" s="6"/>
      <c r="B3" s="6"/>
      <c r="C3" s="8">
        <f>DATE(2025, MATCH($G$3, 'Month-Year List'!$A$2:$A$13, 0), 1)+ MOD(1 - WEEKDAY(DATE(2025, MATCH($G$3, 'Month-Year List'!$A$2:$A$13, 0), 1), 1), 7)</f>
        <v>45844</v>
      </c>
      <c r="D3" s="9" t="s">
        <v>0</v>
      </c>
      <c r="E3" s="10"/>
      <c r="F3" s="11"/>
      <c r="G3" s="32" t="s">
        <v>46</v>
      </c>
      <c r="H3" s="10"/>
      <c r="I3" s="11"/>
      <c r="J3" s="4"/>
      <c r="K3" s="4"/>
      <c r="L3" s="4"/>
      <c r="O3" s="13">
        <v>2025.0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5"/>
      <c r="B4" s="5"/>
      <c r="C4" s="5"/>
      <c r="D4" s="33" t="str">
        <f>LET( mo, MATCH($G$3,'Month-Year List'!$A$2:$A$13,0), first, $C$3, dt, first + 7*(COLUMNS($D4:D4)-1), IF(MONTH(dt)=mo, TEXT(dt,"ddd, mmm d"), ""))</f>
        <v>Sun, Jul 6</v>
      </c>
      <c r="E4" s="33" t="str">
        <f>LET( mo, MATCH($G$3,'Month-Year List'!$A$2:$A$13,0), first, $C$3, dt, first + 7*(COLUMNS($D4:E4)-1), IF(MONTH(dt)=mo, TEXT(dt,"ddd, mmm d"), ""))</f>
        <v>Sun, Jul 13</v>
      </c>
      <c r="F4" s="33" t="str">
        <f>LET( mo, MATCH($G$3,'Month-Year List'!$A$2:$A$13,0), first, $C$3, dt, first + 7*(COLUMNS($D4:F4)-1), IF(MONTH(dt)=mo, TEXT(dt,"ddd, mmm d"), ""))</f>
        <v>Sun, Jul 20</v>
      </c>
      <c r="G4" s="33" t="str">
        <f>LET( mo, MATCH($G$3,'Month-Year List'!$A$2:$A$13,0), first, $C$3, dt, first + 7*(COLUMNS($D4:G4)-1), IF(MONTH(dt)=mo, TEXT(dt,"ddd, mmm d"), ""))</f>
        <v>Sun, Jul 27</v>
      </c>
      <c r="H4" s="33" t="str">
        <f>LET( mo, MATCH($G$3,'Month-Year List'!$A$2:$A$13,0), first, $C$3, dt, first + 7*(COLUMNS($D4:H4)-1), IF(MONTH(dt)=mo, TEXT(dt,"ddd, mmm d"), ""))</f>
        <v/>
      </c>
      <c r="I4" s="33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5.5" customHeight="1">
      <c r="A5" s="14" t="s">
        <v>2</v>
      </c>
      <c r="B5" s="15" t="s">
        <v>3</v>
      </c>
      <c r="C5" s="34"/>
      <c r="D5" s="35"/>
      <c r="E5" s="35"/>
      <c r="F5" s="35"/>
      <c r="G5" s="35"/>
      <c r="H5" s="35"/>
      <c r="I5" s="35" t="s">
        <v>4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75" customHeight="1">
      <c r="A6" s="36" t="s">
        <v>5</v>
      </c>
      <c r="B6" s="36" t="s">
        <v>6</v>
      </c>
      <c r="C6" s="4"/>
      <c r="D6" s="20"/>
      <c r="E6" s="20"/>
      <c r="F6" s="20"/>
      <c r="G6" s="20"/>
      <c r="H6" s="20"/>
      <c r="I6" s="20">
        <f t="shared" ref="I6:I28" si="1">COUNTIF(D6:H6,1)</f>
        <v>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75" customHeight="1">
      <c r="A7" s="36" t="s">
        <v>5</v>
      </c>
      <c r="B7" s="36" t="s">
        <v>7</v>
      </c>
      <c r="C7" s="4"/>
      <c r="D7" s="20"/>
      <c r="E7" s="20"/>
      <c r="F7" s="20"/>
      <c r="G7" s="20"/>
      <c r="H7" s="20"/>
      <c r="I7" s="20">
        <f t="shared" si="1"/>
        <v>0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75" customHeight="1">
      <c r="A8" s="36" t="s">
        <v>8</v>
      </c>
      <c r="B8" s="36" t="s">
        <v>9</v>
      </c>
      <c r="C8" s="4"/>
      <c r="D8" s="20"/>
      <c r="E8" s="20"/>
      <c r="F8" s="20"/>
      <c r="G8" s="20"/>
      <c r="H8" s="20"/>
      <c r="I8" s="20">
        <f t="shared" si="1"/>
        <v>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75" customHeight="1">
      <c r="A9" s="36" t="s">
        <v>8</v>
      </c>
      <c r="B9" s="36" t="s">
        <v>10</v>
      </c>
      <c r="C9" s="4"/>
      <c r="D9" s="20"/>
      <c r="E9" s="20"/>
      <c r="F9" s="19">
        <v>1.0</v>
      </c>
      <c r="G9" s="20"/>
      <c r="H9" s="20"/>
      <c r="I9" s="20">
        <f t="shared" si="1"/>
        <v>1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75" customHeight="1">
      <c r="A10" s="36" t="s">
        <v>11</v>
      </c>
      <c r="B10" s="36" t="s">
        <v>12</v>
      </c>
      <c r="C10" s="4"/>
      <c r="D10" s="20"/>
      <c r="E10" s="20"/>
      <c r="F10" s="20"/>
      <c r="G10" s="20"/>
      <c r="H10" s="20"/>
      <c r="I10" s="20">
        <f t="shared" si="1"/>
        <v>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75" customHeight="1">
      <c r="A11" s="36" t="s">
        <v>11</v>
      </c>
      <c r="B11" s="36" t="s">
        <v>13</v>
      </c>
      <c r="C11" s="4"/>
      <c r="D11" s="20"/>
      <c r="E11" s="20"/>
      <c r="F11" s="20"/>
      <c r="G11" s="20"/>
      <c r="H11" s="20"/>
      <c r="I11" s="20">
        <f t="shared" si="1"/>
        <v>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75" customHeight="1">
      <c r="A12" s="36" t="s">
        <v>14</v>
      </c>
      <c r="B12" s="36" t="s">
        <v>15</v>
      </c>
      <c r="C12" s="4"/>
      <c r="D12" s="20"/>
      <c r="E12" s="20"/>
      <c r="F12" s="20"/>
      <c r="G12" s="20"/>
      <c r="H12" s="20"/>
      <c r="I12" s="20">
        <f t="shared" si="1"/>
        <v>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75" customHeight="1">
      <c r="A13" s="36" t="s">
        <v>14</v>
      </c>
      <c r="B13" s="36" t="s">
        <v>16</v>
      </c>
      <c r="C13" s="4"/>
      <c r="D13" s="20"/>
      <c r="E13" s="20"/>
      <c r="F13" s="20"/>
      <c r="G13" s="20"/>
      <c r="H13" s="20"/>
      <c r="I13" s="20">
        <f t="shared" si="1"/>
        <v>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75" customHeight="1">
      <c r="A14" s="36" t="s">
        <v>17</v>
      </c>
      <c r="B14" s="36" t="s">
        <v>18</v>
      </c>
      <c r="C14" s="4"/>
      <c r="D14" s="20"/>
      <c r="E14" s="20"/>
      <c r="F14" s="20"/>
      <c r="G14" s="20"/>
      <c r="H14" s="20"/>
      <c r="I14" s="20">
        <f t="shared" si="1"/>
        <v>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75" customHeight="1">
      <c r="A15" s="36" t="s">
        <v>17</v>
      </c>
      <c r="B15" s="36" t="s">
        <v>19</v>
      </c>
      <c r="C15" s="4"/>
      <c r="D15" s="20"/>
      <c r="E15" s="20"/>
      <c r="F15" s="20"/>
      <c r="G15" s="20"/>
      <c r="H15" s="20"/>
      <c r="I15" s="20">
        <f t="shared" si="1"/>
        <v>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75" customHeight="1">
      <c r="A16" s="36" t="s">
        <v>20</v>
      </c>
      <c r="B16" s="36" t="s">
        <v>21</v>
      </c>
      <c r="C16" s="4"/>
      <c r="D16" s="20"/>
      <c r="E16" s="20"/>
      <c r="F16" s="20"/>
      <c r="G16" s="20"/>
      <c r="H16" s="20"/>
      <c r="I16" s="20">
        <f t="shared" si="1"/>
        <v>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75" customHeight="1">
      <c r="A17" s="36" t="s">
        <v>20</v>
      </c>
      <c r="B17" s="36" t="s">
        <v>40</v>
      </c>
      <c r="C17" s="4"/>
      <c r="D17" s="20"/>
      <c r="E17" s="20"/>
      <c r="F17" s="20"/>
      <c r="G17" s="20"/>
      <c r="H17" s="20"/>
      <c r="I17" s="20">
        <f t="shared" si="1"/>
        <v>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75" customHeight="1">
      <c r="A18" s="36" t="s">
        <v>20</v>
      </c>
      <c r="B18" s="36" t="s">
        <v>23</v>
      </c>
      <c r="C18" s="4"/>
      <c r="D18" s="20"/>
      <c r="E18" s="20"/>
      <c r="F18" s="20"/>
      <c r="G18" s="20"/>
      <c r="H18" s="20"/>
      <c r="I18" s="20">
        <f t="shared" si="1"/>
        <v>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75" customHeight="1">
      <c r="A19" s="36" t="s">
        <v>24</v>
      </c>
      <c r="B19" s="36" t="s">
        <v>25</v>
      </c>
      <c r="C19" s="4"/>
      <c r="D19" s="20"/>
      <c r="E19" s="20"/>
      <c r="F19" s="20"/>
      <c r="G19" s="20"/>
      <c r="H19" s="20"/>
      <c r="I19" s="20">
        <f t="shared" si="1"/>
        <v>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75" customHeight="1">
      <c r="A20" s="36" t="s">
        <v>24</v>
      </c>
      <c r="B20" s="36" t="s">
        <v>26</v>
      </c>
      <c r="C20" s="4"/>
      <c r="D20" s="20"/>
      <c r="E20" s="20"/>
      <c r="F20" s="20"/>
      <c r="G20" s="20"/>
      <c r="H20" s="20"/>
      <c r="I20" s="20">
        <f t="shared" si="1"/>
        <v>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75" customHeight="1">
      <c r="A21" s="36" t="s">
        <v>27</v>
      </c>
      <c r="B21" s="36" t="s">
        <v>28</v>
      </c>
      <c r="C21" s="4"/>
      <c r="D21" s="20"/>
      <c r="E21" s="20"/>
      <c r="F21" s="20"/>
      <c r="G21" s="20"/>
      <c r="H21" s="20"/>
      <c r="I21" s="20">
        <f t="shared" si="1"/>
        <v>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75" customHeight="1">
      <c r="A22" s="36" t="s">
        <v>27</v>
      </c>
      <c r="B22" s="36" t="s">
        <v>29</v>
      </c>
      <c r="C22" s="4"/>
      <c r="D22" s="20"/>
      <c r="E22" s="20"/>
      <c r="F22" s="20"/>
      <c r="G22" s="20"/>
      <c r="H22" s="20"/>
      <c r="I22" s="20">
        <f t="shared" si="1"/>
        <v>0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75" customHeight="1">
      <c r="A23" s="36" t="s">
        <v>27</v>
      </c>
      <c r="B23" s="36" t="s">
        <v>30</v>
      </c>
      <c r="C23" s="4"/>
      <c r="D23" s="20"/>
      <c r="E23" s="20"/>
      <c r="F23" s="20"/>
      <c r="G23" s="20"/>
      <c r="H23" s="20"/>
      <c r="I23" s="20">
        <f t="shared" si="1"/>
        <v>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75" customHeight="1">
      <c r="A24" s="37" t="s">
        <v>31</v>
      </c>
      <c r="B24" s="37" t="s">
        <v>32</v>
      </c>
      <c r="C24" s="29"/>
      <c r="D24" s="30"/>
      <c r="E24" s="30"/>
      <c r="F24" s="30"/>
      <c r="G24" s="30"/>
      <c r="H24" s="30"/>
      <c r="I24" s="30">
        <f t="shared" si="1"/>
        <v>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75" customHeight="1">
      <c r="A25" s="37" t="s">
        <v>31</v>
      </c>
      <c r="B25" s="37" t="s">
        <v>33</v>
      </c>
      <c r="C25" s="29"/>
      <c r="D25" s="30"/>
      <c r="E25" s="30"/>
      <c r="F25" s="30"/>
      <c r="G25" s="30"/>
      <c r="H25" s="30"/>
      <c r="I25" s="30">
        <f t="shared" si="1"/>
        <v>0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75" customHeight="1">
      <c r="A26" s="37" t="s">
        <v>34</v>
      </c>
      <c r="B26" s="37" t="s">
        <v>35</v>
      </c>
      <c r="C26" s="29"/>
      <c r="D26" s="30"/>
      <c r="E26" s="30"/>
      <c r="F26" s="30"/>
      <c r="G26" s="30"/>
      <c r="H26" s="30"/>
      <c r="I26" s="30">
        <f t="shared" si="1"/>
        <v>0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75" customHeight="1">
      <c r="A27" s="37" t="s">
        <v>36</v>
      </c>
      <c r="B27" s="37" t="s">
        <v>37</v>
      </c>
      <c r="C27" s="29"/>
      <c r="D27" s="30"/>
      <c r="E27" s="30"/>
      <c r="F27" s="30"/>
      <c r="G27" s="30"/>
      <c r="H27" s="30"/>
      <c r="I27" s="30">
        <f t="shared" si="1"/>
        <v>0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75" customHeight="1">
      <c r="A28" s="37" t="s">
        <v>36</v>
      </c>
      <c r="B28" s="37" t="s">
        <v>38</v>
      </c>
      <c r="C28" s="29"/>
      <c r="D28" s="30"/>
      <c r="E28" s="30"/>
      <c r="F28" s="30"/>
      <c r="G28" s="30"/>
      <c r="H28" s="30"/>
      <c r="I28" s="30">
        <f t="shared" si="1"/>
        <v>0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0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0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8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A1:O1"/>
    <mergeCell ref="D3:F3"/>
    <mergeCell ref="G3:I3"/>
    <mergeCell ref="L3:N3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2.0"/>
    <col customWidth="1" min="3" max="3" width="10.0"/>
    <col customWidth="1" min="4" max="15" width="16.0"/>
  </cols>
  <sheetData>
    <row r="1" ht="36.0" customHeight="1">
      <c r="A1" s="1" t="str">
        <f>"Attendance Sheet for "&amp;G3&amp;" - "&amp;O3&amp;""</f>
        <v>Attendance Sheet for August - 2025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/>
      <c r="B2" s="5"/>
      <c r="C2" s="5"/>
      <c r="D2" s="5"/>
      <c r="E2" s="5"/>
      <c r="F2" s="5"/>
      <c r="G2" s="5"/>
      <c r="H2" s="5"/>
      <c r="I2" s="5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0.0" customHeight="1">
      <c r="A3" s="6"/>
      <c r="B3" s="6"/>
      <c r="C3" s="8">
        <f>DATE(2025, MATCH($G$3, 'Month-Year List'!$A$2:$A$13, 0), 1)+ MOD(1 - WEEKDAY(DATE(2025, MATCH($G$3, 'Month-Year List'!$A$2:$A$13, 0), 1), 1), 7)</f>
        <v>45872</v>
      </c>
      <c r="D3" s="9" t="s">
        <v>0</v>
      </c>
      <c r="E3" s="10"/>
      <c r="F3" s="11"/>
      <c r="G3" s="32" t="s">
        <v>47</v>
      </c>
      <c r="H3" s="10"/>
      <c r="I3" s="11"/>
      <c r="J3" s="4"/>
      <c r="K3" s="4"/>
      <c r="L3" s="4"/>
      <c r="O3" s="13">
        <v>2025.0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14" t="s">
        <v>2</v>
      </c>
      <c r="B4" s="15" t="s">
        <v>3</v>
      </c>
      <c r="C4" s="5"/>
      <c r="D4" s="16" t="str">
        <f>LET( mo, MATCH($G$3,'Month-Year List'!$A$2:$A$13,0), first, $C$3, dt, first + 7*(COLUMNS($D4:D4)-1), IF(MONTH(dt)=mo, TEXT(dt,"ddd, mmm d"), ""))</f>
        <v>Sun, Aug 3</v>
      </c>
      <c r="E4" s="16" t="str">
        <f>LET( mo, MATCH($G$3,'Month-Year List'!$A$2:$A$13,0), first, $C$3, dt, first + 7*(COLUMNS($D4:E4)-1), IF(MONTH(dt)=mo, TEXT(dt,"ddd, mmm d"), ""))</f>
        <v>Sun, Aug 10</v>
      </c>
      <c r="F4" s="16" t="str">
        <f>LET( mo, MATCH($G$3,'Month-Year List'!$A$2:$A$13,0), first, $C$3, dt, first + 7*(COLUMNS($D4:F4)-1), IF(MONTH(dt)=mo, TEXT(dt,"ddd, mmm d"), ""))</f>
        <v>Sun, Aug 17</v>
      </c>
      <c r="G4" s="16" t="str">
        <f>LET( mo, MATCH($G$3,'Month-Year List'!$A$2:$A$13,0), first, $C$3, dt, first + 7*(COLUMNS($D4:G4)-1), IF(MONTH(dt)=mo, TEXT(dt,"ddd, mmm d"), ""))</f>
        <v>Sun, Aug 24</v>
      </c>
      <c r="H4" s="16" t="str">
        <f>LET( mo, MATCH($G$3,'Month-Year List'!$A$2:$A$13,0), first, $C$3, dt, first + 7*(COLUMNS($D4:H4)-1), IF(MONTH(dt)=mo, TEXT(dt,"ddd, mmm d"), ""))</f>
        <v>Sun, Aug 31</v>
      </c>
      <c r="I4" s="39" t="s">
        <v>48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75" customHeight="1">
      <c r="A5" s="40" t="s">
        <v>5</v>
      </c>
      <c r="B5" s="40" t="s">
        <v>6</v>
      </c>
      <c r="C5" s="4"/>
      <c r="D5" s="20"/>
      <c r="E5" s="20"/>
      <c r="F5" s="20"/>
      <c r="G5" s="19">
        <v>1.0</v>
      </c>
      <c r="H5" s="19">
        <v>1.0</v>
      </c>
      <c r="I5" s="41">
        <f t="shared" ref="I5:I27" si="1">COUNTIF(D5:H5,1)</f>
        <v>2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75" customHeight="1">
      <c r="A6" s="40" t="s">
        <v>5</v>
      </c>
      <c r="B6" s="40" t="s">
        <v>7</v>
      </c>
      <c r="C6" s="4"/>
      <c r="D6" s="20"/>
      <c r="E6" s="20"/>
      <c r="F6" s="20"/>
      <c r="G6" s="19">
        <v>1.0</v>
      </c>
      <c r="H6" s="19">
        <v>1.0</v>
      </c>
      <c r="I6" s="41">
        <f t="shared" si="1"/>
        <v>2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75" customHeight="1">
      <c r="A7" s="40" t="s">
        <v>8</v>
      </c>
      <c r="B7" s="40" t="s">
        <v>9</v>
      </c>
      <c r="C7" s="4"/>
      <c r="D7" s="20"/>
      <c r="E7" s="20"/>
      <c r="F7" s="20"/>
      <c r="G7" s="19">
        <v>1.0</v>
      </c>
      <c r="H7" s="19">
        <v>1.0</v>
      </c>
      <c r="I7" s="41">
        <f t="shared" si="1"/>
        <v>2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75" customHeight="1">
      <c r="A8" s="40" t="s">
        <v>8</v>
      </c>
      <c r="B8" s="40" t="s">
        <v>10</v>
      </c>
      <c r="C8" s="4"/>
      <c r="D8" s="20"/>
      <c r="E8" s="19">
        <v>1.0</v>
      </c>
      <c r="F8" s="20"/>
      <c r="G8" s="19"/>
      <c r="H8" s="20"/>
      <c r="I8" s="41">
        <f t="shared" si="1"/>
        <v>1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75" customHeight="1">
      <c r="A9" s="40" t="s">
        <v>11</v>
      </c>
      <c r="B9" s="40" t="s">
        <v>12</v>
      </c>
      <c r="C9" s="4"/>
      <c r="D9" s="20"/>
      <c r="E9" s="19">
        <v>1.0</v>
      </c>
      <c r="F9" s="20"/>
      <c r="G9" s="19">
        <v>1.0</v>
      </c>
      <c r="H9" s="19">
        <v>1.0</v>
      </c>
      <c r="I9" s="41">
        <f t="shared" si="1"/>
        <v>3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75" customHeight="1">
      <c r="A10" s="40" t="s">
        <v>11</v>
      </c>
      <c r="B10" s="40" t="s">
        <v>13</v>
      </c>
      <c r="C10" s="4"/>
      <c r="D10" s="20"/>
      <c r="E10" s="20"/>
      <c r="F10" s="20"/>
      <c r="G10" s="20"/>
      <c r="H10" s="19">
        <v>1.0</v>
      </c>
      <c r="I10" s="41">
        <f t="shared" si="1"/>
        <v>1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75" customHeight="1">
      <c r="A11" s="42" t="s">
        <v>14</v>
      </c>
      <c r="B11" s="42" t="s">
        <v>15</v>
      </c>
      <c r="C11" s="4"/>
      <c r="D11" s="20"/>
      <c r="E11" s="20"/>
      <c r="F11" s="20"/>
      <c r="G11" s="19">
        <v>1.0</v>
      </c>
      <c r="H11" s="19">
        <v>1.0</v>
      </c>
      <c r="I11" s="41">
        <f t="shared" si="1"/>
        <v>2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75" customHeight="1">
      <c r="A12" s="42" t="s">
        <v>14</v>
      </c>
      <c r="B12" s="42" t="s">
        <v>16</v>
      </c>
      <c r="C12" s="4"/>
      <c r="D12" s="20"/>
      <c r="E12" s="20"/>
      <c r="F12" s="20"/>
      <c r="G12" s="19">
        <v>1.0</v>
      </c>
      <c r="H12" s="19">
        <v>1.0</v>
      </c>
      <c r="I12" s="41">
        <f t="shared" si="1"/>
        <v>2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75" customHeight="1">
      <c r="A13" s="42" t="s">
        <v>17</v>
      </c>
      <c r="B13" s="42" t="s">
        <v>18</v>
      </c>
      <c r="C13" s="4"/>
      <c r="D13" s="20"/>
      <c r="E13" s="19">
        <v>1.0</v>
      </c>
      <c r="F13" s="20"/>
      <c r="G13" s="19">
        <v>1.0</v>
      </c>
      <c r="H13" s="19">
        <v>1.0</v>
      </c>
      <c r="I13" s="41">
        <f t="shared" si="1"/>
        <v>3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75" customHeight="1">
      <c r="A14" s="42" t="s">
        <v>17</v>
      </c>
      <c r="B14" s="42" t="s">
        <v>19</v>
      </c>
      <c r="C14" s="4"/>
      <c r="D14" s="20"/>
      <c r="E14" s="20"/>
      <c r="F14" s="20"/>
      <c r="G14" s="20"/>
      <c r="H14" s="20"/>
      <c r="I14" s="41">
        <f t="shared" si="1"/>
        <v>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75" customHeight="1">
      <c r="A15" s="42" t="s">
        <v>20</v>
      </c>
      <c r="B15" s="42" t="s">
        <v>21</v>
      </c>
      <c r="C15" s="4"/>
      <c r="D15" s="20"/>
      <c r="E15" s="20"/>
      <c r="F15" s="20"/>
      <c r="G15" s="19">
        <v>1.0</v>
      </c>
      <c r="H15" s="19">
        <v>1.0</v>
      </c>
      <c r="I15" s="41">
        <f t="shared" si="1"/>
        <v>2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75" customHeight="1">
      <c r="A16" s="42" t="s">
        <v>20</v>
      </c>
      <c r="B16" s="42" t="s">
        <v>40</v>
      </c>
      <c r="C16" s="4"/>
      <c r="D16" s="20"/>
      <c r="E16" s="20"/>
      <c r="F16" s="20"/>
      <c r="G16" s="19">
        <v>1.0</v>
      </c>
      <c r="H16" s="19">
        <v>1.0</v>
      </c>
      <c r="I16" s="41">
        <f t="shared" si="1"/>
        <v>2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75" customHeight="1">
      <c r="A17" s="42" t="s">
        <v>20</v>
      </c>
      <c r="B17" s="42" t="s">
        <v>23</v>
      </c>
      <c r="C17" s="4"/>
      <c r="D17" s="20"/>
      <c r="E17" s="19">
        <v>1.0</v>
      </c>
      <c r="F17" s="20"/>
      <c r="G17" s="20"/>
      <c r="H17" s="20"/>
      <c r="I17" s="41">
        <f t="shared" si="1"/>
        <v>1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75" customHeight="1">
      <c r="A18" s="42" t="s">
        <v>24</v>
      </c>
      <c r="B18" s="42" t="s">
        <v>25</v>
      </c>
      <c r="C18" s="4"/>
      <c r="D18" s="20"/>
      <c r="E18" s="19">
        <v>1.0</v>
      </c>
      <c r="F18" s="20"/>
      <c r="G18" s="19">
        <v>1.0</v>
      </c>
      <c r="H18" s="19">
        <v>1.0</v>
      </c>
      <c r="I18" s="41">
        <f t="shared" si="1"/>
        <v>3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75" customHeight="1">
      <c r="A19" s="42" t="s">
        <v>24</v>
      </c>
      <c r="B19" s="42" t="s">
        <v>26</v>
      </c>
      <c r="C19" s="4"/>
      <c r="D19" s="20"/>
      <c r="E19" s="20"/>
      <c r="F19" s="20"/>
      <c r="G19" s="19">
        <v>1.0</v>
      </c>
      <c r="H19" s="19">
        <v>1.0</v>
      </c>
      <c r="I19" s="41">
        <f t="shared" si="1"/>
        <v>2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75" customHeight="1">
      <c r="A20" s="43" t="s">
        <v>27</v>
      </c>
      <c r="B20" s="43" t="s">
        <v>28</v>
      </c>
      <c r="C20" s="4"/>
      <c r="D20" s="20"/>
      <c r="E20" s="20"/>
      <c r="F20" s="20"/>
      <c r="G20" s="19">
        <v>1.0</v>
      </c>
      <c r="H20" s="19">
        <v>1.0</v>
      </c>
      <c r="I20" s="41">
        <f t="shared" si="1"/>
        <v>2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75" customHeight="1">
      <c r="A21" s="43" t="s">
        <v>27</v>
      </c>
      <c r="B21" s="43" t="s">
        <v>29</v>
      </c>
      <c r="C21" s="4"/>
      <c r="D21" s="20"/>
      <c r="E21" s="19">
        <v>1.0</v>
      </c>
      <c r="F21" s="20"/>
      <c r="G21" s="19">
        <v>1.0</v>
      </c>
      <c r="H21" s="19">
        <v>1.0</v>
      </c>
      <c r="I21" s="41">
        <f t="shared" si="1"/>
        <v>3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75" customHeight="1">
      <c r="A22" s="43" t="s">
        <v>27</v>
      </c>
      <c r="B22" s="43" t="s">
        <v>30</v>
      </c>
      <c r="C22" s="4"/>
      <c r="D22" s="20"/>
      <c r="E22" s="20"/>
      <c r="F22" s="20"/>
      <c r="G22" s="20"/>
      <c r="H22" s="19">
        <v>1.0</v>
      </c>
      <c r="I22" s="41">
        <f t="shared" si="1"/>
        <v>1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75" customHeight="1">
      <c r="A23" s="44" t="s">
        <v>31</v>
      </c>
      <c r="B23" s="44" t="s">
        <v>32</v>
      </c>
      <c r="C23" s="29"/>
      <c r="D23" s="30"/>
      <c r="E23" s="38">
        <v>1.0</v>
      </c>
      <c r="F23" s="30"/>
      <c r="G23" s="38">
        <v>1.0</v>
      </c>
      <c r="H23" s="38">
        <v>1.0</v>
      </c>
      <c r="I23" s="45">
        <f t="shared" si="1"/>
        <v>3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75" customHeight="1">
      <c r="A24" s="44" t="s">
        <v>31</v>
      </c>
      <c r="B24" s="44" t="s">
        <v>33</v>
      </c>
      <c r="C24" s="29"/>
      <c r="D24" s="30"/>
      <c r="E24" s="38">
        <v>1.0</v>
      </c>
      <c r="F24" s="30"/>
      <c r="G24" s="38">
        <v>1.0</v>
      </c>
      <c r="H24" s="38">
        <v>1.0</v>
      </c>
      <c r="I24" s="45">
        <f t="shared" si="1"/>
        <v>3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75" customHeight="1">
      <c r="A25" s="44" t="s">
        <v>34</v>
      </c>
      <c r="B25" s="44" t="s">
        <v>35</v>
      </c>
      <c r="C25" s="29"/>
      <c r="D25" s="30"/>
      <c r="E25" s="38">
        <v>1.0</v>
      </c>
      <c r="F25" s="30"/>
      <c r="G25" s="38">
        <v>1.0</v>
      </c>
      <c r="H25" s="38">
        <v>1.0</v>
      </c>
      <c r="I25" s="45">
        <f t="shared" si="1"/>
        <v>3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75" customHeight="1">
      <c r="A26" s="44" t="s">
        <v>36</v>
      </c>
      <c r="B26" s="44" t="s">
        <v>37</v>
      </c>
      <c r="C26" s="29"/>
      <c r="D26" s="30"/>
      <c r="E26" s="38">
        <v>1.0</v>
      </c>
      <c r="F26" s="30"/>
      <c r="G26" s="38">
        <v>1.0</v>
      </c>
      <c r="H26" s="38">
        <v>1.0</v>
      </c>
      <c r="I26" s="45">
        <f t="shared" si="1"/>
        <v>3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75" customHeight="1">
      <c r="A27" s="44" t="s">
        <v>36</v>
      </c>
      <c r="B27" s="44" t="s">
        <v>38</v>
      </c>
      <c r="C27" s="29"/>
      <c r="D27" s="30"/>
      <c r="E27" s="38">
        <v>0.0</v>
      </c>
      <c r="F27" s="30"/>
      <c r="G27" s="38">
        <v>0.0</v>
      </c>
      <c r="H27" s="38">
        <v>0.0</v>
      </c>
      <c r="I27" s="45">
        <f t="shared" si="1"/>
        <v>0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0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0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8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mergeCells count="4">
    <mergeCell ref="A1:O1"/>
    <mergeCell ref="D3:F3"/>
    <mergeCell ref="G3:I3"/>
    <mergeCell ref="L3:N3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2.0"/>
    <col customWidth="1" min="3" max="3" width="10.0"/>
    <col customWidth="1" min="4" max="15" width="16.0"/>
  </cols>
  <sheetData>
    <row r="1" ht="36.0" customHeight="1">
      <c r="A1" s="1" t="str">
        <f>"Attendance Sheet for "&amp;G3&amp;" - "&amp;O3&amp;""</f>
        <v>Attendance Sheet for September - 2025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/>
      <c r="B2" s="5"/>
      <c r="C2" s="5"/>
      <c r="D2" s="5"/>
      <c r="E2" s="5"/>
      <c r="F2" s="5"/>
      <c r="G2" s="5"/>
      <c r="H2" s="5"/>
      <c r="I2" s="5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0.0" customHeight="1">
      <c r="A3" s="6"/>
      <c r="B3" s="6"/>
      <c r="C3" s="8">
        <f>DATE(2025, MATCH($G$3, 'Month-Year List'!$A$2:$A$13, 0), 1)+ MOD(1 - WEEKDAY(DATE(2025, MATCH($G$3, 'Month-Year List'!$A$2:$A$13, 0), 1), 1), 7)</f>
        <v>45907</v>
      </c>
      <c r="D3" s="9" t="s">
        <v>0</v>
      </c>
      <c r="E3" s="10"/>
      <c r="F3" s="11"/>
      <c r="G3" s="32" t="s">
        <v>49</v>
      </c>
      <c r="H3" s="10"/>
      <c r="I3" s="11"/>
      <c r="J3" s="4"/>
      <c r="K3" s="4"/>
      <c r="L3" s="4"/>
      <c r="O3" s="13">
        <v>2025.0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14" t="s">
        <v>2</v>
      </c>
      <c r="B4" s="46" t="s">
        <v>3</v>
      </c>
      <c r="C4" s="5"/>
      <c r="D4" s="47" t="str">
        <f>LET( mo, MATCH($G$3,'Month-Year List'!$A$2:$A$13,0), first, $C$3, dt, first + 7*(COLUMNS($D4:D4)-1), IF(MONTH(dt)=mo, TEXT(dt,"ddd, mmm d"), ""))</f>
        <v>Sun, Sep 7</v>
      </c>
      <c r="E4" s="47" t="str">
        <f>LET( mo, MATCH($G$3,'Month-Year List'!$A$2:$A$13,0), first, $C$3, dt, first + 7*(COLUMNS($D4:E4)-1), IF(MONTH(dt)=mo, TEXT(dt,"ddd, mmm d"), ""))</f>
        <v>Sun, Sep 14</v>
      </c>
      <c r="F4" s="47" t="str">
        <f>LET( mo, MATCH($G$3,'Month-Year List'!$A$2:$A$13,0), first, $C$3, dt, first + 7*(COLUMNS($D4:F4)-1), IF(MONTH(dt)=mo, TEXT(dt,"ddd, mmm d"), ""))</f>
        <v>Sun, Sep 21</v>
      </c>
      <c r="G4" s="47" t="str">
        <f>LET( mo, MATCH($G$3,'Month-Year List'!$A$2:$A$13,0), first, $C$3, dt, first + 7*(COLUMNS($D4:G4)-1), IF(MONTH(dt)=mo, TEXT(dt,"ddd, mmm d"), ""))</f>
        <v>Sun, Sep 28</v>
      </c>
      <c r="H4" s="47" t="str">
        <f>LET( mo, MATCH($G$3,'Month-Year List'!$A$2:$A$13,0), first, $C$3, dt, first + 7*(COLUMNS($D4:H4)-1), IF(MONTH(dt)=mo, TEXT(dt,"ddd, mmm d"), ""))</f>
        <v/>
      </c>
      <c r="I4" s="39" t="s">
        <v>48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75" customHeight="1">
      <c r="A5" s="40" t="s">
        <v>5</v>
      </c>
      <c r="B5" s="40" t="s">
        <v>6</v>
      </c>
      <c r="C5" s="4"/>
      <c r="D5" s="19">
        <v>1.0</v>
      </c>
      <c r="E5" s="19">
        <v>1.0</v>
      </c>
      <c r="F5" s="19">
        <v>1.0</v>
      </c>
      <c r="G5" s="19">
        <v>1.0</v>
      </c>
      <c r="H5" s="20"/>
      <c r="I5" s="41">
        <f t="shared" ref="I5:I27" si="1">COUNTIF(D5:H5,1)</f>
        <v>4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75" customHeight="1">
      <c r="A6" s="40" t="s">
        <v>5</v>
      </c>
      <c r="B6" s="40" t="s">
        <v>7</v>
      </c>
      <c r="C6" s="4"/>
      <c r="D6" s="19">
        <v>1.0</v>
      </c>
      <c r="E6" s="20"/>
      <c r="F6" s="19">
        <v>1.0</v>
      </c>
      <c r="G6" s="19"/>
      <c r="H6" s="20"/>
      <c r="I6" s="41">
        <f t="shared" si="1"/>
        <v>2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75" customHeight="1">
      <c r="A7" s="40" t="s">
        <v>8</v>
      </c>
      <c r="B7" s="40" t="s">
        <v>9</v>
      </c>
      <c r="C7" s="4"/>
      <c r="D7" s="19"/>
      <c r="E7" s="19">
        <v>1.0</v>
      </c>
      <c r="F7" s="20"/>
      <c r="G7" s="20"/>
      <c r="H7" s="20"/>
      <c r="I7" s="41">
        <f t="shared" si="1"/>
        <v>1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75" customHeight="1">
      <c r="A8" s="40" t="s">
        <v>8</v>
      </c>
      <c r="B8" s="40" t="s">
        <v>10</v>
      </c>
      <c r="C8" s="4"/>
      <c r="D8" s="19">
        <v>1.0</v>
      </c>
      <c r="E8" s="20"/>
      <c r="F8" s="20"/>
      <c r="G8" s="20"/>
      <c r="H8" s="20"/>
      <c r="I8" s="41">
        <f t="shared" si="1"/>
        <v>1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75" customHeight="1">
      <c r="A9" s="40" t="s">
        <v>11</v>
      </c>
      <c r="B9" s="40" t="s">
        <v>12</v>
      </c>
      <c r="C9" s="4"/>
      <c r="D9" s="19">
        <v>1.0</v>
      </c>
      <c r="E9" s="19">
        <v>1.0</v>
      </c>
      <c r="F9" s="20"/>
      <c r="G9" s="19">
        <v>1.0</v>
      </c>
      <c r="H9" s="20"/>
      <c r="I9" s="41">
        <f t="shared" si="1"/>
        <v>3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75" customHeight="1">
      <c r="A10" s="40" t="s">
        <v>11</v>
      </c>
      <c r="B10" s="40" t="s">
        <v>13</v>
      </c>
      <c r="C10" s="4"/>
      <c r="D10" s="19">
        <v>1.0</v>
      </c>
      <c r="E10" s="20"/>
      <c r="F10" s="20"/>
      <c r="G10" s="20"/>
      <c r="H10" s="20"/>
      <c r="I10" s="41">
        <f t="shared" si="1"/>
        <v>1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75" customHeight="1">
      <c r="A11" s="42" t="s">
        <v>14</v>
      </c>
      <c r="B11" s="42" t="s">
        <v>15</v>
      </c>
      <c r="C11" s="4"/>
      <c r="D11" s="19">
        <v>1.0</v>
      </c>
      <c r="E11" s="19">
        <v>1.0</v>
      </c>
      <c r="F11" s="20"/>
      <c r="G11" s="19">
        <v>1.0</v>
      </c>
      <c r="H11" s="20"/>
      <c r="I11" s="41">
        <f t="shared" si="1"/>
        <v>3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75" customHeight="1">
      <c r="A12" s="42" t="s">
        <v>14</v>
      </c>
      <c r="B12" s="42" t="s">
        <v>16</v>
      </c>
      <c r="C12" s="4"/>
      <c r="D12" s="19">
        <v>1.0</v>
      </c>
      <c r="E12" s="20"/>
      <c r="F12" s="20"/>
      <c r="G12" s="19">
        <v>1.0</v>
      </c>
      <c r="H12" s="20"/>
      <c r="I12" s="41">
        <f t="shared" si="1"/>
        <v>2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75" customHeight="1">
      <c r="A13" s="42" t="s">
        <v>17</v>
      </c>
      <c r="B13" s="42" t="s">
        <v>18</v>
      </c>
      <c r="C13" s="4"/>
      <c r="D13" s="19">
        <v>1.0</v>
      </c>
      <c r="E13" s="19">
        <v>1.0</v>
      </c>
      <c r="F13" s="20"/>
      <c r="G13" s="19">
        <v>1.0</v>
      </c>
      <c r="H13" s="19"/>
      <c r="I13" s="41">
        <f t="shared" si="1"/>
        <v>3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75" customHeight="1">
      <c r="A14" s="42" t="s">
        <v>17</v>
      </c>
      <c r="B14" s="42" t="s">
        <v>19</v>
      </c>
      <c r="C14" s="4"/>
      <c r="D14" s="20"/>
      <c r="E14" s="20"/>
      <c r="F14" s="20"/>
      <c r="G14" s="19">
        <v>1.0</v>
      </c>
      <c r="H14" s="19"/>
      <c r="I14" s="41">
        <f t="shared" si="1"/>
        <v>1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75" customHeight="1">
      <c r="A15" s="42" t="s">
        <v>20</v>
      </c>
      <c r="B15" s="42" t="s">
        <v>21</v>
      </c>
      <c r="C15" s="4"/>
      <c r="D15" s="19">
        <v>1.0</v>
      </c>
      <c r="E15" s="20"/>
      <c r="F15" s="20"/>
      <c r="G15" s="20"/>
      <c r="H15" s="20"/>
      <c r="I15" s="41">
        <f t="shared" si="1"/>
        <v>1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75" customHeight="1">
      <c r="A16" s="42" t="s">
        <v>20</v>
      </c>
      <c r="B16" s="42" t="s">
        <v>40</v>
      </c>
      <c r="C16" s="4"/>
      <c r="D16" s="19">
        <v>1.0</v>
      </c>
      <c r="E16" s="20"/>
      <c r="F16" s="20"/>
      <c r="G16" s="19">
        <v>1.0</v>
      </c>
      <c r="H16" s="20"/>
      <c r="I16" s="41">
        <f t="shared" si="1"/>
        <v>2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75" customHeight="1">
      <c r="A17" s="42" t="s">
        <v>20</v>
      </c>
      <c r="B17" s="42" t="s">
        <v>23</v>
      </c>
      <c r="C17" s="4"/>
      <c r="D17" s="19">
        <v>1.0</v>
      </c>
      <c r="E17" s="20"/>
      <c r="F17" s="20"/>
      <c r="G17" s="19">
        <v>1.0</v>
      </c>
      <c r="H17" s="20"/>
      <c r="I17" s="41">
        <f t="shared" si="1"/>
        <v>2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75" customHeight="1">
      <c r="A18" s="42" t="s">
        <v>24</v>
      </c>
      <c r="B18" s="42" t="s">
        <v>25</v>
      </c>
      <c r="C18" s="4"/>
      <c r="D18" s="19">
        <v>1.0</v>
      </c>
      <c r="E18" s="19">
        <v>1.0</v>
      </c>
      <c r="F18" s="20"/>
      <c r="G18" s="19">
        <v>1.0</v>
      </c>
      <c r="H18" s="20"/>
      <c r="I18" s="41">
        <f t="shared" si="1"/>
        <v>3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75" customHeight="1">
      <c r="A19" s="42" t="s">
        <v>24</v>
      </c>
      <c r="B19" s="42" t="s">
        <v>26</v>
      </c>
      <c r="C19" s="4"/>
      <c r="D19" s="19"/>
      <c r="E19" s="19">
        <v>1.0</v>
      </c>
      <c r="F19" s="20"/>
      <c r="G19" s="20"/>
      <c r="H19" s="20"/>
      <c r="I19" s="41">
        <f t="shared" si="1"/>
        <v>1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75" customHeight="1">
      <c r="A20" s="43" t="s">
        <v>27</v>
      </c>
      <c r="B20" s="43" t="s">
        <v>28</v>
      </c>
      <c r="C20" s="4"/>
      <c r="D20" s="19">
        <v>1.0</v>
      </c>
      <c r="E20" s="20"/>
      <c r="F20" s="20"/>
      <c r="G20" s="19">
        <v>1.0</v>
      </c>
      <c r="H20" s="20"/>
      <c r="I20" s="41">
        <f t="shared" si="1"/>
        <v>2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75" customHeight="1">
      <c r="A21" s="43" t="s">
        <v>27</v>
      </c>
      <c r="B21" s="43" t="s">
        <v>29</v>
      </c>
      <c r="C21" s="4"/>
      <c r="D21" s="19">
        <v>1.0</v>
      </c>
      <c r="E21" s="19">
        <v>1.0</v>
      </c>
      <c r="F21" s="20"/>
      <c r="G21" s="19">
        <v>1.0</v>
      </c>
      <c r="H21" s="20"/>
      <c r="I21" s="41">
        <f t="shared" si="1"/>
        <v>3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75" customHeight="1">
      <c r="A22" s="43" t="s">
        <v>27</v>
      </c>
      <c r="B22" s="43" t="s">
        <v>30</v>
      </c>
      <c r="C22" s="4"/>
      <c r="D22" s="19">
        <v>1.0</v>
      </c>
      <c r="E22" s="20"/>
      <c r="F22" s="20"/>
      <c r="G22" s="20"/>
      <c r="H22" s="20"/>
      <c r="I22" s="41">
        <f t="shared" si="1"/>
        <v>1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75" customHeight="1">
      <c r="A23" s="44" t="s">
        <v>31</v>
      </c>
      <c r="B23" s="44" t="s">
        <v>32</v>
      </c>
      <c r="C23" s="29"/>
      <c r="D23" s="38">
        <v>1.0</v>
      </c>
      <c r="E23" s="38"/>
      <c r="F23" s="30"/>
      <c r="G23" s="38">
        <v>1.0</v>
      </c>
      <c r="H23" s="30"/>
      <c r="I23" s="45">
        <f t="shared" si="1"/>
        <v>2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75" customHeight="1">
      <c r="A24" s="44" t="s">
        <v>31</v>
      </c>
      <c r="B24" s="44" t="s">
        <v>33</v>
      </c>
      <c r="C24" s="29"/>
      <c r="D24" s="38">
        <v>1.0</v>
      </c>
      <c r="E24" s="38">
        <v>1.0</v>
      </c>
      <c r="F24" s="30"/>
      <c r="G24" s="38">
        <v>1.0</v>
      </c>
      <c r="H24" s="30"/>
      <c r="I24" s="45">
        <f t="shared" si="1"/>
        <v>3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75" customHeight="1">
      <c r="A25" s="44" t="s">
        <v>34</v>
      </c>
      <c r="B25" s="44" t="s">
        <v>35</v>
      </c>
      <c r="C25" s="29"/>
      <c r="D25" s="38">
        <v>1.0</v>
      </c>
      <c r="E25" s="38">
        <v>1.0</v>
      </c>
      <c r="F25" s="30"/>
      <c r="G25" s="38">
        <v>1.0</v>
      </c>
      <c r="H25" s="30"/>
      <c r="I25" s="45">
        <f t="shared" si="1"/>
        <v>3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75" customHeight="1">
      <c r="A26" s="44" t="s">
        <v>36</v>
      </c>
      <c r="B26" s="44" t="s">
        <v>37</v>
      </c>
      <c r="C26" s="29"/>
      <c r="D26" s="38">
        <v>1.0</v>
      </c>
      <c r="E26" s="38">
        <v>1.0</v>
      </c>
      <c r="F26" s="38">
        <v>1.0</v>
      </c>
      <c r="G26" s="38">
        <v>1.0</v>
      </c>
      <c r="H26" s="30"/>
      <c r="I26" s="45">
        <f t="shared" si="1"/>
        <v>4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75" customHeight="1">
      <c r="A27" s="44" t="s">
        <v>36</v>
      </c>
      <c r="B27" s="44" t="s">
        <v>38</v>
      </c>
      <c r="C27" s="29"/>
      <c r="D27" s="38">
        <v>0.0</v>
      </c>
      <c r="E27" s="38">
        <v>0.0</v>
      </c>
      <c r="F27" s="38">
        <v>1.0</v>
      </c>
      <c r="G27" s="38">
        <v>1.0</v>
      </c>
      <c r="H27" s="30"/>
      <c r="I27" s="45">
        <f t="shared" si="1"/>
        <v>2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0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0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8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mergeCells count="4">
    <mergeCell ref="A1:O1"/>
    <mergeCell ref="D3:F3"/>
    <mergeCell ref="G3:I3"/>
    <mergeCell ref="L3:N3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2.0"/>
    <col customWidth="1" min="3" max="3" width="10.0"/>
    <col customWidth="1" min="4" max="15" width="16.0"/>
  </cols>
  <sheetData>
    <row r="1" ht="36.0" customHeight="1">
      <c r="A1" s="1" t="str">
        <f>"Attendance Sheet for "&amp;G3&amp;" - "&amp;O3&amp;""</f>
        <v>Attendance Sheet for October - 2025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/>
      <c r="B2" s="5"/>
      <c r="C2" s="5"/>
      <c r="D2" s="5"/>
      <c r="E2" s="5"/>
      <c r="F2" s="5"/>
      <c r="G2" s="5"/>
      <c r="H2" s="5"/>
      <c r="I2" s="5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0.0" customHeight="1">
      <c r="A3" s="6"/>
      <c r="B3" s="6"/>
      <c r="C3" s="8">
        <f>DATE(2025, MATCH($G$3, 'Month-Year List'!$A$2:$A$13, 0), 1)+ MOD(1 - WEEKDAY(DATE(2025, MATCH($G$3, 'Month-Year List'!$A$2:$A$13, 0), 1), 1), 7)</f>
        <v>45935</v>
      </c>
      <c r="D3" s="9" t="s">
        <v>0</v>
      </c>
      <c r="E3" s="10"/>
      <c r="F3" s="11"/>
      <c r="G3" s="32" t="s">
        <v>50</v>
      </c>
      <c r="H3" s="10"/>
      <c r="I3" s="11"/>
      <c r="J3" s="4"/>
      <c r="K3" s="4"/>
      <c r="L3" s="4"/>
      <c r="O3" s="13">
        <v>2025.0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14" t="s">
        <v>2</v>
      </c>
      <c r="B4" s="15" t="s">
        <v>3</v>
      </c>
      <c r="C4" s="5"/>
      <c r="D4" s="16" t="str">
        <f>LET( mo, MATCH($G$3,'Month-Year List'!$A$2:$A$13,0), first, $C$3, dt, first + 7*(COLUMNS($D4:D4)-1), IF(MONTH(dt)=mo, TEXT(dt,"ddd, mmm d"), ""))</f>
        <v>Sun, Oct 5</v>
      </c>
      <c r="E4" s="16" t="str">
        <f>LET( mo, MATCH($G$3,'Month-Year List'!$A$2:$A$13,0), first, $C$3, dt, first + 7*(COLUMNS($D4:E4)-1), IF(MONTH(dt)=mo, TEXT(dt,"ddd, mmm d"), ""))</f>
        <v>Sun, Oct 12</v>
      </c>
      <c r="F4" s="16" t="str">
        <f>LET( mo, MATCH($G$3,'Month-Year List'!$A$2:$A$13,0), first, $C$3, dt, first + 7*(COLUMNS($D4:F4)-1), IF(MONTH(dt)=mo, TEXT(dt,"ddd, mmm d"), ""))</f>
        <v>Sun, Oct 19</v>
      </c>
      <c r="G4" s="16" t="str">
        <f>LET( mo, MATCH($G$3,'Month-Year List'!$A$2:$A$13,0), first, $C$3, dt, first + 7*(COLUMNS($D4:G4)-1), IF(MONTH(dt)=mo, TEXT(dt,"ddd, mmm d"), ""))</f>
        <v>Sun, Oct 26</v>
      </c>
      <c r="H4" s="16" t="str">
        <f>LET( mo, MATCH($G$3,'Month-Year List'!$A$2:$A$13,0), first, $C$3, dt, first + 7*(COLUMNS($D4:H4)-1), IF(MONTH(dt)=mo, TEXT(dt,"ddd, mmm d"), ""))</f>
        <v/>
      </c>
      <c r="I4" s="39" t="s">
        <v>48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75" customHeight="1">
      <c r="A5" s="40" t="s">
        <v>5</v>
      </c>
      <c r="B5" s="40" t="s">
        <v>6</v>
      </c>
      <c r="C5" s="4"/>
      <c r="D5" s="19">
        <v>1.0</v>
      </c>
      <c r="E5" s="20"/>
      <c r="F5" s="20"/>
      <c r="G5" s="20"/>
      <c r="H5" s="20"/>
      <c r="I5" s="41">
        <f t="shared" ref="I5:I27" si="1">COUNTIF(D5:H5,1)</f>
        <v>1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75" customHeight="1">
      <c r="A6" s="40" t="s">
        <v>5</v>
      </c>
      <c r="B6" s="40" t="s">
        <v>7</v>
      </c>
      <c r="C6" s="4"/>
      <c r="D6" s="19">
        <v>1.0</v>
      </c>
      <c r="E6" s="20"/>
      <c r="F6" s="20"/>
      <c r="G6" s="20"/>
      <c r="H6" s="20"/>
      <c r="I6" s="41">
        <f t="shared" si="1"/>
        <v>1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75" customHeight="1">
      <c r="A7" s="40" t="s">
        <v>8</v>
      </c>
      <c r="B7" s="40" t="s">
        <v>9</v>
      </c>
      <c r="C7" s="4"/>
      <c r="D7" s="19">
        <v>1.0</v>
      </c>
      <c r="E7" s="20"/>
      <c r="F7" s="20"/>
      <c r="G7" s="20"/>
      <c r="H7" s="20"/>
      <c r="I7" s="41">
        <f t="shared" si="1"/>
        <v>1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75" customHeight="1">
      <c r="A8" s="40" t="s">
        <v>8</v>
      </c>
      <c r="B8" s="40" t="s">
        <v>10</v>
      </c>
      <c r="C8" s="4"/>
      <c r="D8" s="19">
        <v>1.0</v>
      </c>
      <c r="E8" s="20"/>
      <c r="F8" s="20"/>
      <c r="G8" s="20"/>
      <c r="H8" s="20"/>
      <c r="I8" s="41">
        <f t="shared" si="1"/>
        <v>1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75" customHeight="1">
      <c r="A9" s="40" t="s">
        <v>11</v>
      </c>
      <c r="B9" s="40" t="s">
        <v>12</v>
      </c>
      <c r="C9" s="4"/>
      <c r="D9" s="19">
        <v>1.0</v>
      </c>
      <c r="E9" s="20"/>
      <c r="F9" s="20"/>
      <c r="G9" s="20"/>
      <c r="H9" s="20"/>
      <c r="I9" s="41">
        <f t="shared" si="1"/>
        <v>1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75" customHeight="1">
      <c r="A10" s="40" t="s">
        <v>11</v>
      </c>
      <c r="B10" s="40" t="s">
        <v>13</v>
      </c>
      <c r="C10" s="4"/>
      <c r="D10" s="20"/>
      <c r="E10" s="20"/>
      <c r="F10" s="20"/>
      <c r="G10" s="20"/>
      <c r="H10" s="20"/>
      <c r="I10" s="41">
        <f t="shared" si="1"/>
        <v>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75" customHeight="1">
      <c r="A11" s="42" t="s">
        <v>14</v>
      </c>
      <c r="B11" s="42" t="s">
        <v>15</v>
      </c>
      <c r="C11" s="4"/>
      <c r="D11" s="19">
        <v>1.0</v>
      </c>
      <c r="E11" s="19">
        <v>1.0</v>
      </c>
      <c r="F11" s="19">
        <v>1.0</v>
      </c>
      <c r="G11" s="20"/>
      <c r="H11" s="20"/>
      <c r="I11" s="41">
        <f t="shared" si="1"/>
        <v>3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75" customHeight="1">
      <c r="A12" s="42" t="s">
        <v>14</v>
      </c>
      <c r="B12" s="42" t="s">
        <v>16</v>
      </c>
      <c r="C12" s="4"/>
      <c r="D12" s="19">
        <v>1.0</v>
      </c>
      <c r="E12" s="19">
        <v>1.0</v>
      </c>
      <c r="F12" s="19">
        <v>1.0</v>
      </c>
      <c r="G12" s="20"/>
      <c r="H12" s="20"/>
      <c r="I12" s="41">
        <f t="shared" si="1"/>
        <v>3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75" customHeight="1">
      <c r="A13" s="42" t="s">
        <v>17</v>
      </c>
      <c r="B13" s="42" t="s">
        <v>18</v>
      </c>
      <c r="C13" s="4"/>
      <c r="D13" s="19">
        <v>1.0</v>
      </c>
      <c r="E13" s="19">
        <v>1.0</v>
      </c>
      <c r="F13" s="20"/>
      <c r="G13" s="20"/>
      <c r="H13" s="20"/>
      <c r="I13" s="41">
        <f t="shared" si="1"/>
        <v>2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75" customHeight="1">
      <c r="A14" s="42" t="s">
        <v>17</v>
      </c>
      <c r="B14" s="42" t="s">
        <v>19</v>
      </c>
      <c r="C14" s="4"/>
      <c r="D14" s="19">
        <v>1.0</v>
      </c>
      <c r="E14" s="19">
        <v>1.0</v>
      </c>
      <c r="F14" s="20"/>
      <c r="G14" s="20"/>
      <c r="H14" s="20"/>
      <c r="I14" s="41">
        <f t="shared" si="1"/>
        <v>2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75" customHeight="1">
      <c r="A15" s="42" t="s">
        <v>20</v>
      </c>
      <c r="B15" s="42" t="s">
        <v>21</v>
      </c>
      <c r="C15" s="4"/>
      <c r="D15" s="20"/>
      <c r="E15" s="20"/>
      <c r="F15" s="20"/>
      <c r="G15" s="20"/>
      <c r="H15" s="20"/>
      <c r="I15" s="41">
        <f t="shared" si="1"/>
        <v>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75" customHeight="1">
      <c r="A16" s="42" t="s">
        <v>20</v>
      </c>
      <c r="B16" s="42" t="s">
        <v>40</v>
      </c>
      <c r="C16" s="4"/>
      <c r="D16" s="20"/>
      <c r="E16" s="20"/>
      <c r="F16" s="20"/>
      <c r="G16" s="19">
        <v>1.0</v>
      </c>
      <c r="H16" s="20"/>
      <c r="I16" s="41">
        <f t="shared" si="1"/>
        <v>1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75" customHeight="1">
      <c r="A17" s="42" t="s">
        <v>20</v>
      </c>
      <c r="B17" s="42" t="s">
        <v>23</v>
      </c>
      <c r="C17" s="4"/>
      <c r="D17" s="19">
        <v>1.0</v>
      </c>
      <c r="E17" s="20"/>
      <c r="F17" s="20"/>
      <c r="G17" s="20"/>
      <c r="H17" s="20"/>
      <c r="I17" s="41">
        <f t="shared" si="1"/>
        <v>1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75" customHeight="1">
      <c r="A18" s="48" t="s">
        <v>24</v>
      </c>
      <c r="B18" s="42" t="s">
        <v>25</v>
      </c>
      <c r="C18" s="4"/>
      <c r="D18" s="19">
        <v>1.0</v>
      </c>
      <c r="E18" s="20"/>
      <c r="F18" s="49">
        <v>1.0</v>
      </c>
      <c r="G18" s="19">
        <v>1.0</v>
      </c>
      <c r="H18" s="20"/>
      <c r="I18" s="41">
        <f t="shared" si="1"/>
        <v>3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75" customHeight="1">
      <c r="A19" s="42" t="s">
        <v>24</v>
      </c>
      <c r="B19" s="42" t="s">
        <v>26</v>
      </c>
      <c r="C19" s="4"/>
      <c r="D19" s="19">
        <v>1.0</v>
      </c>
      <c r="E19" s="20"/>
      <c r="F19" s="49">
        <v>1.0</v>
      </c>
      <c r="G19" s="19">
        <v>1.0</v>
      </c>
      <c r="H19" s="20"/>
      <c r="I19" s="41">
        <f t="shared" si="1"/>
        <v>3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75" customHeight="1">
      <c r="A20" s="43" t="s">
        <v>27</v>
      </c>
      <c r="B20" s="43" t="s">
        <v>28</v>
      </c>
      <c r="C20" s="4"/>
      <c r="D20" s="20"/>
      <c r="E20" s="20"/>
      <c r="F20" s="20"/>
      <c r="G20" s="20"/>
      <c r="H20" s="20"/>
      <c r="I20" s="41">
        <f t="shared" si="1"/>
        <v>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75" customHeight="1">
      <c r="A21" s="43" t="s">
        <v>27</v>
      </c>
      <c r="B21" s="43" t="s">
        <v>29</v>
      </c>
      <c r="C21" s="4"/>
      <c r="D21" s="19">
        <v>1.0</v>
      </c>
      <c r="E21" s="20"/>
      <c r="F21" s="20"/>
      <c r="G21" s="20"/>
      <c r="H21" s="20"/>
      <c r="I21" s="41">
        <f t="shared" si="1"/>
        <v>1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75" customHeight="1">
      <c r="A22" s="43" t="s">
        <v>27</v>
      </c>
      <c r="B22" s="43" t="s">
        <v>30</v>
      </c>
      <c r="C22" s="4"/>
      <c r="D22" s="20"/>
      <c r="E22" s="20"/>
      <c r="F22" s="20"/>
      <c r="G22" s="20"/>
      <c r="H22" s="20"/>
      <c r="I22" s="41">
        <f t="shared" si="1"/>
        <v>0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75" customHeight="1">
      <c r="A23" s="44" t="s">
        <v>31</v>
      </c>
      <c r="B23" s="44" t="s">
        <v>32</v>
      </c>
      <c r="C23" s="29"/>
      <c r="D23" s="38">
        <v>1.0</v>
      </c>
      <c r="E23" s="30"/>
      <c r="F23" s="30"/>
      <c r="G23" s="30"/>
      <c r="H23" s="30"/>
      <c r="I23" s="45">
        <f t="shared" si="1"/>
        <v>1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75" customHeight="1">
      <c r="A24" s="44" t="s">
        <v>31</v>
      </c>
      <c r="B24" s="44" t="s">
        <v>33</v>
      </c>
      <c r="C24" s="29"/>
      <c r="D24" s="38">
        <v>1.0</v>
      </c>
      <c r="E24" s="30"/>
      <c r="F24" s="30"/>
      <c r="G24" s="30"/>
      <c r="H24" s="30"/>
      <c r="I24" s="45">
        <f t="shared" si="1"/>
        <v>1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75" customHeight="1">
      <c r="A25" s="44" t="s">
        <v>34</v>
      </c>
      <c r="B25" s="44" t="s">
        <v>35</v>
      </c>
      <c r="C25" s="29"/>
      <c r="D25" s="38">
        <v>1.0</v>
      </c>
      <c r="E25" s="30"/>
      <c r="F25" s="38"/>
      <c r="G25" s="38">
        <v>1.0</v>
      </c>
      <c r="H25" s="38"/>
      <c r="I25" s="45">
        <f t="shared" si="1"/>
        <v>2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75" customHeight="1">
      <c r="A26" s="44" t="s">
        <v>36</v>
      </c>
      <c r="B26" s="44" t="s">
        <v>37</v>
      </c>
      <c r="C26" s="29"/>
      <c r="D26" s="38">
        <v>1.0</v>
      </c>
      <c r="E26" s="30"/>
      <c r="F26" s="30"/>
      <c r="G26" s="38">
        <v>1.0</v>
      </c>
      <c r="H26" s="38">
        <v>1.0</v>
      </c>
      <c r="I26" s="45">
        <f t="shared" si="1"/>
        <v>3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75" customHeight="1">
      <c r="A27" s="44" t="s">
        <v>36</v>
      </c>
      <c r="B27" s="44" t="s">
        <v>38</v>
      </c>
      <c r="C27" s="29"/>
      <c r="D27" s="38">
        <v>1.0</v>
      </c>
      <c r="E27" s="30"/>
      <c r="F27" s="30"/>
      <c r="G27" s="38">
        <v>0.0</v>
      </c>
      <c r="H27" s="38">
        <v>0.0</v>
      </c>
      <c r="I27" s="45">
        <f t="shared" si="1"/>
        <v>1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0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0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8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mergeCells count="4">
    <mergeCell ref="A1:O1"/>
    <mergeCell ref="D3:F3"/>
    <mergeCell ref="G3:I3"/>
    <mergeCell ref="L3:N3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2.0"/>
    <col customWidth="1" min="3" max="3" width="10.0"/>
    <col customWidth="1" min="4" max="15" width="16.0"/>
  </cols>
  <sheetData>
    <row r="1" ht="36.0" customHeight="1">
      <c r="A1" s="1" t="str">
        <f>"Attendance Sheet for "&amp;G3&amp;" - "&amp;O3&amp;""</f>
        <v>Attendance Sheet for November - 2025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/>
      <c r="B2" s="5"/>
      <c r="C2" s="5"/>
      <c r="D2" s="5"/>
      <c r="E2" s="5"/>
      <c r="F2" s="5"/>
      <c r="G2" s="5"/>
      <c r="H2" s="5"/>
      <c r="I2" s="5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0.0" customHeight="1">
      <c r="A3" s="6"/>
      <c r="B3" s="6"/>
      <c r="C3" s="8">
        <f>DATE(2025, MATCH($G$3, 'Month-Year List'!$A$2:$A$13, 0), 1)+ MOD(1 - WEEKDAY(DATE(2025, MATCH($G$3, 'Month-Year List'!$A$2:$A$13, 0), 1), 1), 7)</f>
        <v>45963</v>
      </c>
      <c r="D3" s="9" t="s">
        <v>0</v>
      </c>
      <c r="E3" s="10"/>
      <c r="F3" s="11"/>
      <c r="G3" s="32" t="s">
        <v>1</v>
      </c>
      <c r="H3" s="10"/>
      <c r="I3" s="11"/>
      <c r="J3" s="4"/>
      <c r="K3" s="4"/>
      <c r="L3" s="4"/>
      <c r="O3" s="13">
        <v>2025.0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14" t="s">
        <v>2</v>
      </c>
      <c r="B4" s="15" t="s">
        <v>3</v>
      </c>
      <c r="C4" s="5"/>
      <c r="D4" s="16" t="str">
        <f>LET( mo, MATCH($G$3,'Month-Year List'!$A$2:$A$13,0), first, $C$3, dt, first + 7*(COLUMNS($D4:D4)-1), IF(MONTH(dt)=mo, TEXT(dt,"ddd, mmm d"), ""))</f>
        <v>Sun, Nov 2</v>
      </c>
      <c r="E4" s="16" t="str">
        <f>LET( mo, MATCH($G$3,'Month-Year List'!$A$2:$A$13,0), first, $C$3, dt, first + 7*(COLUMNS($D4:E4)-1), IF(MONTH(dt)=mo, TEXT(dt,"ddd, mmm d"), ""))</f>
        <v>Sun, Nov 9</v>
      </c>
      <c r="F4" s="16" t="str">
        <f>LET( mo, MATCH($G$3,'Month-Year List'!$A$2:$A$13,0), first, $C$3, dt, first + 7*(COLUMNS($D4:F4)-1), IF(MONTH(dt)=mo, TEXT(dt,"ddd, mmm d"), ""))</f>
        <v>Sun, Nov 16</v>
      </c>
      <c r="G4" s="16" t="str">
        <f>LET( mo, MATCH($G$3,'Month-Year List'!$A$2:$A$13,0), first, $C$3, dt, first + 7*(COLUMNS($D4:G4)-1), IF(MONTH(dt)=mo, TEXT(dt,"ddd, mmm d"), ""))</f>
        <v>Sun, Nov 23</v>
      </c>
      <c r="H4" s="16" t="str">
        <f>LET( mo, MATCH($G$3,'Month-Year List'!$A$2:$A$13,0), first, $C$3, dt, first + 7*(COLUMNS($D4:H4)-1), IF(MONTH(dt)=mo, TEXT(dt,"ddd, mmm d"), ""))</f>
        <v>Sun, Nov 30</v>
      </c>
      <c r="I4" s="39" t="s">
        <v>48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75" customHeight="1">
      <c r="A5" s="40" t="s">
        <v>5</v>
      </c>
      <c r="B5" s="40" t="s">
        <v>6</v>
      </c>
      <c r="C5" s="4"/>
      <c r="D5" s="19">
        <v>1.0</v>
      </c>
      <c r="E5" s="19">
        <v>1.0</v>
      </c>
      <c r="F5" s="19">
        <v>1.0</v>
      </c>
      <c r="G5" s="20"/>
      <c r="H5" s="20"/>
      <c r="I5" s="41">
        <f t="shared" ref="I5:I18" si="1">COUNTIF(D5:H5,1)</f>
        <v>3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75" customHeight="1">
      <c r="A6" s="40" t="s">
        <v>5</v>
      </c>
      <c r="B6" s="40" t="s">
        <v>7</v>
      </c>
      <c r="C6" s="4"/>
      <c r="D6" s="19">
        <v>1.0</v>
      </c>
      <c r="E6" s="19">
        <v>1.0</v>
      </c>
      <c r="F6" s="19">
        <v>1.0</v>
      </c>
      <c r="G6" s="20"/>
      <c r="H6" s="20"/>
      <c r="I6" s="41">
        <f t="shared" si="1"/>
        <v>3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75" customHeight="1">
      <c r="A7" s="40" t="s">
        <v>8</v>
      </c>
      <c r="B7" s="40" t="s">
        <v>9</v>
      </c>
      <c r="C7" s="4"/>
      <c r="D7" s="19">
        <v>1.0</v>
      </c>
      <c r="E7" s="19">
        <v>1.0</v>
      </c>
      <c r="F7" s="19">
        <v>1.0</v>
      </c>
      <c r="G7" s="19">
        <v>1.0</v>
      </c>
      <c r="H7" s="19">
        <v>1.0</v>
      </c>
      <c r="I7" s="41">
        <f t="shared" si="1"/>
        <v>5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75" customHeight="1">
      <c r="A8" s="40" t="s">
        <v>8</v>
      </c>
      <c r="B8" s="40" t="s">
        <v>10</v>
      </c>
      <c r="C8" s="4"/>
      <c r="D8" s="19">
        <v>1.0</v>
      </c>
      <c r="E8" s="19">
        <v>1.0</v>
      </c>
      <c r="F8" s="19">
        <v>0.0</v>
      </c>
      <c r="G8" s="19">
        <v>1.0</v>
      </c>
      <c r="H8" s="19">
        <v>0.0</v>
      </c>
      <c r="I8" s="41">
        <f t="shared" si="1"/>
        <v>3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75" customHeight="1">
      <c r="A9" s="40" t="s">
        <v>11</v>
      </c>
      <c r="B9" s="40" t="s">
        <v>12</v>
      </c>
      <c r="C9" s="4"/>
      <c r="D9" s="19">
        <v>1.0</v>
      </c>
      <c r="E9" s="19">
        <v>1.0</v>
      </c>
      <c r="F9" s="19">
        <v>1.0</v>
      </c>
      <c r="G9" s="20"/>
      <c r="H9" s="20"/>
      <c r="I9" s="41">
        <f t="shared" si="1"/>
        <v>3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75" customHeight="1">
      <c r="A10" s="40" t="s">
        <v>11</v>
      </c>
      <c r="B10" s="40" t="s">
        <v>13</v>
      </c>
      <c r="C10" s="4"/>
      <c r="D10" s="19">
        <v>1.0</v>
      </c>
      <c r="E10" s="19"/>
      <c r="F10" s="19">
        <v>1.0</v>
      </c>
      <c r="G10" s="20"/>
      <c r="H10" s="20"/>
      <c r="I10" s="41">
        <f t="shared" si="1"/>
        <v>2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75" customHeight="1">
      <c r="A11" s="42" t="s">
        <v>14</v>
      </c>
      <c r="B11" s="42" t="s">
        <v>15</v>
      </c>
      <c r="C11" s="4"/>
      <c r="D11" s="19">
        <v>1.0</v>
      </c>
      <c r="E11" s="19">
        <v>1.0</v>
      </c>
      <c r="F11" s="19">
        <v>1.0</v>
      </c>
      <c r="G11" s="20"/>
      <c r="H11" s="20"/>
      <c r="I11" s="41">
        <f t="shared" si="1"/>
        <v>3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75" customHeight="1">
      <c r="A12" s="42" t="s">
        <v>14</v>
      </c>
      <c r="B12" s="42" t="s">
        <v>16</v>
      </c>
      <c r="C12" s="4"/>
      <c r="D12" s="19">
        <v>1.0</v>
      </c>
      <c r="E12" s="19">
        <v>1.0</v>
      </c>
      <c r="F12" s="19">
        <v>1.0</v>
      </c>
      <c r="G12" s="20"/>
      <c r="H12" s="20"/>
      <c r="I12" s="41">
        <f t="shared" si="1"/>
        <v>3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75" customHeight="1">
      <c r="A13" s="42" t="s">
        <v>17</v>
      </c>
      <c r="B13" s="42" t="s">
        <v>18</v>
      </c>
      <c r="C13" s="4"/>
      <c r="D13" s="19">
        <v>1.0</v>
      </c>
      <c r="E13" s="19">
        <v>1.0</v>
      </c>
      <c r="F13" s="19">
        <v>1.0</v>
      </c>
      <c r="G13" s="20"/>
      <c r="H13" s="20"/>
      <c r="I13" s="41">
        <f t="shared" si="1"/>
        <v>3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75" customHeight="1">
      <c r="A14" s="42" t="s">
        <v>17</v>
      </c>
      <c r="B14" s="42" t="s">
        <v>19</v>
      </c>
      <c r="C14" s="4"/>
      <c r="D14" s="20"/>
      <c r="E14" s="19">
        <v>1.0</v>
      </c>
      <c r="F14" s="19">
        <v>1.0</v>
      </c>
      <c r="G14" s="20"/>
      <c r="H14" s="20"/>
      <c r="I14" s="41">
        <f t="shared" si="1"/>
        <v>2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75" customHeight="1">
      <c r="A15" s="42" t="s">
        <v>20</v>
      </c>
      <c r="B15" s="42" t="s">
        <v>21</v>
      </c>
      <c r="C15" s="4"/>
      <c r="D15" s="20"/>
      <c r="E15" s="19">
        <v>1.0</v>
      </c>
      <c r="F15" s="19">
        <v>1.0</v>
      </c>
      <c r="G15" s="20"/>
      <c r="H15" s="20"/>
      <c r="I15" s="41">
        <f t="shared" si="1"/>
        <v>2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75" customHeight="1">
      <c r="A16" s="42" t="s">
        <v>20</v>
      </c>
      <c r="B16" s="42" t="s">
        <v>40</v>
      </c>
      <c r="C16" s="4"/>
      <c r="D16" s="19">
        <v>1.0</v>
      </c>
      <c r="E16" s="19">
        <v>1.0</v>
      </c>
      <c r="F16" s="19">
        <v>1.0</v>
      </c>
      <c r="G16" s="20"/>
      <c r="H16" s="20"/>
      <c r="I16" s="41">
        <f t="shared" si="1"/>
        <v>3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75" customHeight="1">
      <c r="A17" s="42" t="s">
        <v>20</v>
      </c>
      <c r="B17" s="42" t="s">
        <v>23</v>
      </c>
      <c r="C17" s="4"/>
      <c r="D17" s="19">
        <v>1.0</v>
      </c>
      <c r="E17" s="19">
        <v>1.0</v>
      </c>
      <c r="F17" s="19">
        <v>1.0</v>
      </c>
      <c r="G17" s="20"/>
      <c r="H17" s="20"/>
      <c r="I17" s="50">
        <f t="shared" si="1"/>
        <v>3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75" customHeight="1">
      <c r="A18" s="51" t="s">
        <v>24</v>
      </c>
      <c r="B18" s="51" t="s">
        <v>25</v>
      </c>
      <c r="C18" s="52"/>
      <c r="D18" s="49">
        <v>1.0</v>
      </c>
      <c r="E18" s="49">
        <v>1.0</v>
      </c>
      <c r="F18" s="49">
        <v>1.0</v>
      </c>
      <c r="G18" s="53"/>
      <c r="H18" s="53"/>
      <c r="I18" s="54">
        <f t="shared" si="1"/>
        <v>3</v>
      </c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 ht="21.75" customHeight="1">
      <c r="A19" s="51" t="s">
        <v>24</v>
      </c>
      <c r="B19" s="55" t="s">
        <v>51</v>
      </c>
      <c r="C19" s="49"/>
      <c r="D19" s="49">
        <v>1.0</v>
      </c>
      <c r="E19" s="49">
        <v>0.0</v>
      </c>
      <c r="F19" s="49">
        <v>1.0</v>
      </c>
      <c r="G19" s="49"/>
      <c r="H19" s="49"/>
      <c r="I19" s="56">
        <f t="shared" ref="I19:I20" si="2">COUNTIF(D19:H19,1)</f>
        <v>2</v>
      </c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</row>
    <row r="20" ht="21.75" customHeight="1">
      <c r="A20" s="43" t="s">
        <v>27</v>
      </c>
      <c r="B20" s="58" t="s">
        <v>52</v>
      </c>
      <c r="C20" s="49"/>
      <c r="D20" s="49">
        <v>1.0</v>
      </c>
      <c r="E20" s="49">
        <v>1.0</v>
      </c>
      <c r="F20" s="49">
        <v>1.0</v>
      </c>
      <c r="G20" s="49"/>
      <c r="H20" s="49"/>
      <c r="I20" s="56">
        <f t="shared" si="2"/>
        <v>3</v>
      </c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</row>
    <row r="21" ht="21.75" customHeight="1">
      <c r="A21" s="43" t="s">
        <v>27</v>
      </c>
      <c r="B21" s="43" t="s">
        <v>29</v>
      </c>
      <c r="C21" s="4"/>
      <c r="D21" s="19">
        <v>1.0</v>
      </c>
      <c r="E21" s="19">
        <v>1.0</v>
      </c>
      <c r="F21" s="19">
        <v>1.0</v>
      </c>
      <c r="G21" s="19">
        <v>1.0</v>
      </c>
      <c r="H21" s="20"/>
      <c r="I21" s="50">
        <f t="shared" ref="I21:I27" si="3">COUNTIF(D21:H21,1)</f>
        <v>4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75" customHeight="1">
      <c r="A22" s="43" t="s">
        <v>27</v>
      </c>
      <c r="B22" s="43" t="s">
        <v>30</v>
      </c>
      <c r="C22" s="4"/>
      <c r="D22" s="19">
        <v>1.0</v>
      </c>
      <c r="E22" s="20"/>
      <c r="F22" s="19">
        <v>1.0</v>
      </c>
      <c r="G22" s="20"/>
      <c r="H22" s="20"/>
      <c r="I22" s="41">
        <f t="shared" si="3"/>
        <v>2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75" customHeight="1">
      <c r="A23" s="44" t="s">
        <v>31</v>
      </c>
      <c r="B23" s="44" t="s">
        <v>32</v>
      </c>
      <c r="C23" s="29"/>
      <c r="D23" s="38">
        <v>1.0</v>
      </c>
      <c r="E23" s="38">
        <v>1.0</v>
      </c>
      <c r="F23" s="38">
        <v>1.0</v>
      </c>
      <c r="G23" s="38">
        <v>1.0</v>
      </c>
      <c r="H23" s="30"/>
      <c r="I23" s="45">
        <f t="shared" si="3"/>
        <v>4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75" customHeight="1">
      <c r="A24" s="44" t="s">
        <v>31</v>
      </c>
      <c r="B24" s="44" t="s">
        <v>33</v>
      </c>
      <c r="C24" s="29"/>
      <c r="D24" s="38">
        <v>1.0</v>
      </c>
      <c r="E24" s="38">
        <v>1.0</v>
      </c>
      <c r="F24" s="38">
        <v>1.0</v>
      </c>
      <c r="G24" s="38">
        <v>1.0</v>
      </c>
      <c r="H24" s="30"/>
      <c r="I24" s="45">
        <f t="shared" si="3"/>
        <v>4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75" customHeight="1">
      <c r="A25" s="44" t="s">
        <v>34</v>
      </c>
      <c r="B25" s="44" t="s">
        <v>35</v>
      </c>
      <c r="C25" s="29"/>
      <c r="D25" s="38">
        <v>1.0</v>
      </c>
      <c r="E25" s="38">
        <v>1.0</v>
      </c>
      <c r="F25" s="38">
        <v>1.0</v>
      </c>
      <c r="G25" s="38">
        <v>1.0</v>
      </c>
      <c r="H25" s="30"/>
      <c r="I25" s="45">
        <f t="shared" si="3"/>
        <v>4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75" customHeight="1">
      <c r="A26" s="44" t="s">
        <v>36</v>
      </c>
      <c r="B26" s="44" t="s">
        <v>37</v>
      </c>
      <c r="C26" s="29"/>
      <c r="D26" s="38">
        <v>1.0</v>
      </c>
      <c r="E26" s="38">
        <v>1.0</v>
      </c>
      <c r="F26" s="38">
        <v>1.0</v>
      </c>
      <c r="G26" s="30"/>
      <c r="H26" s="30"/>
      <c r="I26" s="45">
        <f t="shared" si="3"/>
        <v>3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75" customHeight="1">
      <c r="A27" s="44" t="s">
        <v>36</v>
      </c>
      <c r="B27" s="44" t="s">
        <v>38</v>
      </c>
      <c r="C27" s="29"/>
      <c r="D27" s="38">
        <v>0.0</v>
      </c>
      <c r="E27" s="38">
        <v>1.0</v>
      </c>
      <c r="F27" s="38">
        <v>1.0</v>
      </c>
      <c r="G27" s="30"/>
      <c r="H27" s="30"/>
      <c r="I27" s="45">
        <f t="shared" si="3"/>
        <v>2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0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0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8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mergeCells count="4">
    <mergeCell ref="A1:O1"/>
    <mergeCell ref="D3:F3"/>
    <mergeCell ref="G3:I3"/>
    <mergeCell ref="L3:N3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2.0"/>
    <col customWidth="1" min="3" max="3" width="10.0"/>
    <col customWidth="1" min="4" max="15" width="16.0"/>
  </cols>
  <sheetData>
    <row r="1" ht="36.0" customHeight="1">
      <c r="A1" s="1" t="str">
        <f>"Attendance Sheet for "&amp;G3&amp;" - "&amp;O3&amp;""</f>
        <v>Attendance Sheet for December - 2025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/>
      <c r="B2" s="5"/>
      <c r="C2" s="5"/>
      <c r="D2" s="5"/>
      <c r="E2" s="5"/>
      <c r="F2" s="5"/>
      <c r="G2" s="5"/>
      <c r="H2" s="5"/>
      <c r="I2" s="5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0.0" customHeight="1">
      <c r="A3" s="6"/>
      <c r="B3" s="6"/>
      <c r="C3" s="8">
        <f>DATE(2025, MATCH($G$3, 'Month-Year List'!$A$2:$A$13, 0), 1)+ MOD(1 - WEEKDAY(DATE(2025, MATCH($G$3, 'Month-Year List'!$A$2:$A$13, 0), 1), 1), 7)</f>
        <v>45998</v>
      </c>
      <c r="D3" s="9" t="s">
        <v>0</v>
      </c>
      <c r="E3" s="10"/>
      <c r="F3" s="11"/>
      <c r="G3" s="32" t="s">
        <v>53</v>
      </c>
      <c r="H3" s="10"/>
      <c r="I3" s="11"/>
      <c r="J3" s="4"/>
      <c r="K3" s="4"/>
      <c r="L3" s="4"/>
      <c r="O3" s="13">
        <v>2025.0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14" t="s">
        <v>2</v>
      </c>
      <c r="B4" s="15" t="s">
        <v>3</v>
      </c>
      <c r="C4" s="5"/>
      <c r="D4" s="16" t="str">
        <f>LET( mo, MATCH($G$3,'Month-Year List'!$A$2:$A$13,0), first, $C$3, dt, first + 7*(COLUMNS($D4:D4)-1), IF(MONTH(dt)=mo, TEXT(dt,"ddd, mmm d"), ""))</f>
        <v>Sun, Dec 7</v>
      </c>
      <c r="E4" s="16" t="str">
        <f>LET( mo, MATCH($G$3,'Month-Year List'!$A$2:$A$13,0), first, $C$3, dt, first + 7*(COLUMNS($D4:E4)-1), IF(MONTH(dt)=mo, TEXT(dt,"ddd, mmm d"), ""))</f>
        <v>Sun, Dec 14</v>
      </c>
      <c r="F4" s="16" t="str">
        <f>LET( mo, MATCH($G$3,'Month-Year List'!$A$2:$A$13,0), first, $C$3, dt, first + 7*(COLUMNS($D4:F4)-1), IF(MONTH(dt)=mo, TEXT(dt,"ddd, mmm d"), ""))</f>
        <v>Sun, Dec 21</v>
      </c>
      <c r="G4" s="16" t="str">
        <f>LET( mo, MATCH($G$3,'Month-Year List'!$A$2:$A$13,0), first, $C$3, dt, first + 7*(COLUMNS($D4:G4)-1), IF(MONTH(dt)=mo, TEXT(dt,"ddd, mmm d"), ""))</f>
        <v>Sun, Dec 28</v>
      </c>
      <c r="H4" s="16" t="str">
        <f>LET( mo, MATCH($G$3,'Month-Year List'!$A$2:$A$13,0), first, $C$3, dt, first + 7*(COLUMNS($D4:H4)-1), IF(MONTH(dt)=mo, TEXT(dt,"ddd, mmm d"), ""))</f>
        <v/>
      </c>
      <c r="I4" s="39" t="s">
        <v>48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75" customHeight="1">
      <c r="A5" s="40" t="s">
        <v>5</v>
      </c>
      <c r="B5" s="40" t="s">
        <v>6</v>
      </c>
      <c r="C5" s="4"/>
      <c r="D5" s="20"/>
      <c r="E5" s="20"/>
      <c r="F5" s="20"/>
      <c r="G5" s="20"/>
      <c r="H5" s="20"/>
      <c r="I5" s="41">
        <f t="shared" ref="I5:I27" si="1">COUNTIF(D5:H5,1)</f>
        <v>0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75" customHeight="1">
      <c r="A6" s="40" t="s">
        <v>5</v>
      </c>
      <c r="B6" s="40" t="s">
        <v>7</v>
      </c>
      <c r="C6" s="4"/>
      <c r="D6" s="20"/>
      <c r="E6" s="20"/>
      <c r="F6" s="20"/>
      <c r="G6" s="20"/>
      <c r="H6" s="20"/>
      <c r="I6" s="41">
        <f t="shared" si="1"/>
        <v>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75" customHeight="1">
      <c r="A7" s="40" t="s">
        <v>8</v>
      </c>
      <c r="B7" s="40" t="s">
        <v>9</v>
      </c>
      <c r="C7" s="4"/>
      <c r="D7" s="49">
        <v>1.0</v>
      </c>
      <c r="E7" s="20"/>
      <c r="F7" s="20"/>
      <c r="G7" s="20"/>
      <c r="H7" s="20"/>
      <c r="I7" s="41">
        <f t="shared" si="1"/>
        <v>1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75" customHeight="1">
      <c r="A8" s="40" t="s">
        <v>8</v>
      </c>
      <c r="B8" s="40" t="s">
        <v>10</v>
      </c>
      <c r="C8" s="4"/>
      <c r="D8" s="59">
        <v>1.0</v>
      </c>
      <c r="E8" s="20"/>
      <c r="F8" s="20"/>
      <c r="G8" s="20"/>
      <c r="H8" s="20"/>
      <c r="I8" s="41">
        <f t="shared" si="1"/>
        <v>1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75" customHeight="1">
      <c r="A9" s="40" t="s">
        <v>11</v>
      </c>
      <c r="B9" s="40" t="s">
        <v>12</v>
      </c>
      <c r="C9" s="4"/>
      <c r="D9" s="20"/>
      <c r="E9" s="20"/>
      <c r="F9" s="20"/>
      <c r="G9" s="20"/>
      <c r="H9" s="20"/>
      <c r="I9" s="41">
        <f t="shared" si="1"/>
        <v>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75" customHeight="1">
      <c r="A10" s="40" t="s">
        <v>11</v>
      </c>
      <c r="B10" s="40" t="s">
        <v>13</v>
      </c>
      <c r="C10" s="4"/>
      <c r="D10" s="20"/>
      <c r="E10" s="20"/>
      <c r="F10" s="20"/>
      <c r="G10" s="20"/>
      <c r="H10" s="20"/>
      <c r="I10" s="41">
        <f t="shared" si="1"/>
        <v>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75" customHeight="1">
      <c r="A11" s="42" t="s">
        <v>14</v>
      </c>
      <c r="B11" s="42" t="s">
        <v>15</v>
      </c>
      <c r="C11" s="4"/>
      <c r="D11" s="19">
        <v>0.0</v>
      </c>
      <c r="E11" s="20"/>
      <c r="F11" s="20"/>
      <c r="G11" s="20"/>
      <c r="H11" s="20"/>
      <c r="I11" s="41">
        <f t="shared" si="1"/>
        <v>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75" customHeight="1">
      <c r="A12" s="42" t="s">
        <v>14</v>
      </c>
      <c r="B12" s="42" t="s">
        <v>16</v>
      </c>
      <c r="C12" s="4"/>
      <c r="D12" s="19">
        <v>1.0</v>
      </c>
      <c r="E12" s="20"/>
      <c r="F12" s="20"/>
      <c r="G12" s="20"/>
      <c r="H12" s="20"/>
      <c r="I12" s="41">
        <f t="shared" si="1"/>
        <v>1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75" customHeight="1">
      <c r="A13" s="42" t="s">
        <v>17</v>
      </c>
      <c r="B13" s="42" t="s">
        <v>18</v>
      </c>
      <c r="C13" s="4"/>
      <c r="D13" s="20"/>
      <c r="E13" s="20"/>
      <c r="F13" s="20"/>
      <c r="G13" s="20"/>
      <c r="H13" s="20"/>
      <c r="I13" s="41">
        <f t="shared" si="1"/>
        <v>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75" customHeight="1">
      <c r="A14" s="42" t="s">
        <v>17</v>
      </c>
      <c r="B14" s="42" t="s">
        <v>19</v>
      </c>
      <c r="C14" s="4"/>
      <c r="D14" s="20"/>
      <c r="E14" s="20"/>
      <c r="F14" s="20"/>
      <c r="G14" s="20"/>
      <c r="H14" s="20"/>
      <c r="I14" s="41">
        <f t="shared" si="1"/>
        <v>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75" customHeight="1">
      <c r="A15" s="42" t="s">
        <v>20</v>
      </c>
      <c r="B15" s="42" t="s">
        <v>21</v>
      </c>
      <c r="C15" s="4"/>
      <c r="D15" s="20"/>
      <c r="E15" s="19">
        <v>1.0</v>
      </c>
      <c r="F15" s="20"/>
      <c r="G15" s="20"/>
      <c r="H15" s="20"/>
      <c r="I15" s="41">
        <f t="shared" si="1"/>
        <v>1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75" customHeight="1">
      <c r="A16" s="42" t="s">
        <v>20</v>
      </c>
      <c r="B16" s="42" t="s">
        <v>40</v>
      </c>
      <c r="C16" s="4"/>
      <c r="D16" s="20"/>
      <c r="E16" s="20"/>
      <c r="F16" s="20"/>
      <c r="G16" s="20"/>
      <c r="H16" s="20"/>
      <c r="I16" s="41">
        <f t="shared" si="1"/>
        <v>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75" customHeight="1">
      <c r="A17" s="42" t="s">
        <v>20</v>
      </c>
      <c r="B17" s="42" t="s">
        <v>23</v>
      </c>
      <c r="C17" s="4"/>
      <c r="D17" s="20"/>
      <c r="E17" s="20"/>
      <c r="F17" s="20"/>
      <c r="G17" s="20"/>
      <c r="H17" s="20"/>
      <c r="I17" s="41">
        <f t="shared" si="1"/>
        <v>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75" customHeight="1">
      <c r="A18" s="42" t="s">
        <v>24</v>
      </c>
      <c r="B18" s="42" t="s">
        <v>25</v>
      </c>
      <c r="C18" s="4"/>
      <c r="D18" s="19">
        <v>1.0</v>
      </c>
      <c r="E18" s="20"/>
      <c r="F18" s="20"/>
      <c r="G18" s="20"/>
      <c r="H18" s="20"/>
      <c r="I18" s="41">
        <f t="shared" si="1"/>
        <v>1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75" customHeight="1">
      <c r="A19" s="42" t="s">
        <v>24</v>
      </c>
      <c r="B19" s="42" t="s">
        <v>26</v>
      </c>
      <c r="C19" s="4"/>
      <c r="D19" s="19">
        <v>1.0</v>
      </c>
      <c r="E19" s="20"/>
      <c r="F19" s="20"/>
      <c r="G19" s="20"/>
      <c r="H19" s="20"/>
      <c r="I19" s="41">
        <f t="shared" si="1"/>
        <v>1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75" customHeight="1">
      <c r="A20" s="43" t="s">
        <v>27</v>
      </c>
      <c r="B20" s="43" t="s">
        <v>28</v>
      </c>
      <c r="C20" s="4"/>
      <c r="D20" s="20"/>
      <c r="E20" s="20"/>
      <c r="F20" s="20"/>
      <c r="G20" s="20"/>
      <c r="H20" s="20"/>
      <c r="I20" s="41">
        <f t="shared" si="1"/>
        <v>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75" customHeight="1">
      <c r="A21" s="43" t="s">
        <v>27</v>
      </c>
      <c r="B21" s="43" t="s">
        <v>29</v>
      </c>
      <c r="C21" s="4"/>
      <c r="D21" s="20"/>
      <c r="E21" s="20"/>
      <c r="F21" s="20"/>
      <c r="G21" s="20"/>
      <c r="H21" s="20"/>
      <c r="I21" s="41">
        <f t="shared" si="1"/>
        <v>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75" customHeight="1">
      <c r="A22" s="43" t="s">
        <v>27</v>
      </c>
      <c r="B22" s="43" t="s">
        <v>30</v>
      </c>
      <c r="C22" s="4"/>
      <c r="D22" s="20"/>
      <c r="E22" s="20"/>
      <c r="F22" s="20"/>
      <c r="G22" s="20"/>
      <c r="H22" s="20"/>
      <c r="I22" s="41">
        <f t="shared" si="1"/>
        <v>0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75" customHeight="1">
      <c r="A23" s="44" t="s">
        <v>31</v>
      </c>
      <c r="B23" s="44" t="s">
        <v>32</v>
      </c>
      <c r="C23" s="29"/>
      <c r="D23" s="30"/>
      <c r="E23" s="30"/>
      <c r="F23" s="30"/>
      <c r="G23" s="30"/>
      <c r="H23" s="30"/>
      <c r="I23" s="45">
        <f t="shared" si="1"/>
        <v>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75" customHeight="1">
      <c r="A24" s="44" t="s">
        <v>31</v>
      </c>
      <c r="B24" s="44" t="s">
        <v>33</v>
      </c>
      <c r="C24" s="60"/>
      <c r="D24" s="30"/>
      <c r="E24" s="30"/>
      <c r="F24" s="30"/>
      <c r="G24" s="30"/>
      <c r="H24" s="30"/>
      <c r="I24" s="45">
        <f t="shared" si="1"/>
        <v>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75" customHeight="1">
      <c r="A25" s="44" t="s">
        <v>34</v>
      </c>
      <c r="B25" s="44" t="s">
        <v>35</v>
      </c>
      <c r="C25" s="29"/>
      <c r="D25" s="30"/>
      <c r="E25" s="30"/>
      <c r="F25" s="30"/>
      <c r="G25" s="30"/>
      <c r="H25" s="30"/>
      <c r="I25" s="45">
        <f t="shared" si="1"/>
        <v>0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75" customHeight="1">
      <c r="A26" s="44" t="s">
        <v>36</v>
      </c>
      <c r="B26" s="44" t="s">
        <v>37</v>
      </c>
      <c r="C26" s="29"/>
      <c r="D26" s="38">
        <v>0.0</v>
      </c>
      <c r="E26" s="30"/>
      <c r="F26" s="30"/>
      <c r="G26" s="30"/>
      <c r="H26" s="30"/>
      <c r="I26" s="45">
        <f t="shared" si="1"/>
        <v>0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75" customHeight="1">
      <c r="A27" s="44" t="s">
        <v>36</v>
      </c>
      <c r="B27" s="44" t="s">
        <v>38</v>
      </c>
      <c r="C27" s="29"/>
      <c r="D27" s="38">
        <v>0.0</v>
      </c>
      <c r="E27" s="30"/>
      <c r="F27" s="30"/>
      <c r="G27" s="30"/>
      <c r="H27" s="30"/>
      <c r="I27" s="45">
        <f t="shared" si="1"/>
        <v>0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0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0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8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mergeCells count="4">
    <mergeCell ref="A1:O1"/>
    <mergeCell ref="D3:F3"/>
    <mergeCell ref="G3:I3"/>
    <mergeCell ref="L3:N3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3" width="8.71"/>
    <col customWidth="1" min="4" max="4" width="18.0"/>
    <col customWidth="1" min="5" max="24" width="8.71"/>
  </cols>
  <sheetData>
    <row r="1" ht="14.25" customHeight="1">
      <c r="A1" s="61" t="s">
        <v>0</v>
      </c>
      <c r="B1" s="62"/>
      <c r="C1" s="62"/>
      <c r="D1" s="61" t="s">
        <v>54</v>
      </c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 ht="14.25" customHeight="1">
      <c r="A2" s="62" t="s">
        <v>39</v>
      </c>
      <c r="B2" s="62"/>
      <c r="C2" s="62"/>
      <c r="D2" s="62">
        <v>2024.0</v>
      </c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4.25" customHeight="1">
      <c r="A3" s="62" t="s">
        <v>41</v>
      </c>
      <c r="B3" s="62"/>
      <c r="C3" s="62"/>
      <c r="D3" s="62">
        <v>2025.0</v>
      </c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 ht="14.25" customHeight="1">
      <c r="A4" s="62" t="s">
        <v>42</v>
      </c>
      <c r="B4" s="62"/>
      <c r="C4" s="62"/>
      <c r="D4" s="62">
        <v>2026.0</v>
      </c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 ht="14.25" customHeight="1">
      <c r="A5" s="62" t="s">
        <v>43</v>
      </c>
      <c r="B5" s="62"/>
      <c r="C5" s="62"/>
      <c r="D5" s="62">
        <v>2027.0</v>
      </c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 ht="14.25" customHeight="1">
      <c r="A6" s="62" t="s">
        <v>44</v>
      </c>
      <c r="B6" s="62"/>
      <c r="C6" s="62"/>
      <c r="D6" s="62">
        <v>2028.0</v>
      </c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ht="14.25" customHeight="1">
      <c r="A7" s="62" t="s">
        <v>45</v>
      </c>
      <c r="B7" s="62"/>
      <c r="C7" s="62"/>
      <c r="D7" s="62">
        <v>2029.0</v>
      </c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ht="14.25" customHeight="1">
      <c r="A8" s="62" t="s">
        <v>46</v>
      </c>
      <c r="B8" s="62"/>
      <c r="C8" s="62"/>
      <c r="D8" s="62">
        <v>2030.0</v>
      </c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ht="14.25" customHeight="1">
      <c r="A9" s="62" t="s">
        <v>47</v>
      </c>
      <c r="B9" s="62"/>
      <c r="C9" s="62"/>
      <c r="D9" s="62">
        <v>2031.0</v>
      </c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 ht="14.25" customHeight="1">
      <c r="A10" s="62" t="s">
        <v>49</v>
      </c>
      <c r="B10" s="62"/>
      <c r="C10" s="62"/>
      <c r="D10" s="62">
        <v>2032.0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 ht="14.25" customHeight="1">
      <c r="A11" s="62" t="s">
        <v>50</v>
      </c>
      <c r="B11" s="62"/>
      <c r="C11" s="62"/>
      <c r="D11" s="62">
        <v>2033.0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 ht="14.25" customHeight="1">
      <c r="A12" s="62" t="s">
        <v>1</v>
      </c>
      <c r="B12" s="62"/>
      <c r="C12" s="62"/>
      <c r="D12" s="62">
        <v>2034.0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 ht="14.25" customHeight="1">
      <c r="A13" s="62" t="s">
        <v>53</v>
      </c>
      <c r="B13" s="62"/>
      <c r="C13" s="62"/>
      <c r="D13" s="62">
        <v>2035.0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 ht="14.25" customHeight="1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