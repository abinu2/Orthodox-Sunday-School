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heet" sheetId="1" state="visible" r:id="rId1"/>
    <sheet name="Year Summary" sheetId="2" state="visible" r:id="rId2"/>
    <sheet name="August 2026" sheetId="3" state="visible" r:id="rId3"/>
    <sheet name="September 2026" sheetId="4" state="visible" r:id="rId4"/>
    <sheet name="October 2026" sheetId="5" state="visible" r:id="rId5"/>
    <sheet name="November 2026" sheetId="6" state="visible" r:id="rId6"/>
    <sheet name="December 2026" sheetId="7" state="visible" r:id="rId7"/>
    <sheet name="January 2027" sheetId="8" state="visible" r:id="rId8"/>
    <sheet name="February 2027" sheetId="9" state="visible" r:id="rId9"/>
    <sheet name="March 2027" sheetId="10" state="visible" r:id="rId10"/>
    <sheet name="April 2027" sheetId="11" state="visible" r:id="rId11"/>
    <sheet name="May 2027" sheetId="12" state="visible" r:id="rId12"/>
    <sheet name="June 2027" sheetId="13" state="visible" r:id="rId13"/>
    <sheet name="July 2027" sheetId="14" state="visible" r:id="rId14"/>
    <sheet name="Month-Year List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sz val="10"/>
    </font>
    <font>
      <name val="Calibri"/>
      <color rgb="001155CC"/>
      <sz val="10"/>
      <u val="single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FE2F3"/>
      </patternFill>
    </fill>
    <fill>
      <patternFill patternType="solid">
        <fgColor rgb="00B6D7A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9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2" fillId="0" borderId="2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>
        <f>"Attendance Sheet for "&amp;G3</f>
        <v/>
      </c>
    </row>
    <row r="3">
      <c r="B3" s="2">
        <f>HYPERLINK("#'"&amp;$G$3&amp;"'!A1","Go to selected month")</f>
        <v/>
      </c>
      <c r="D3" s="3" t="inlineStr">
        <is>
          <t>Select Month:</t>
        </is>
      </c>
      <c r="G3" s="4" t="inlineStr">
        <is>
          <t>August 2026</t>
        </is>
      </c>
      <c r="K3" s="3" t="inlineStr">
        <is>
          <t>Sundays:</t>
        </is>
      </c>
      <c r="L3" s="5">
        <f>INDIRECT("'"&amp;$G$3&amp;"'!$L$3")</f>
        <v/>
      </c>
    </row>
    <row r="4">
      <c r="A4" s="6" t="inlineStr">
        <is>
          <t>Grade</t>
        </is>
      </c>
      <c r="B4" s="6" t="inlineStr">
        <is>
          <t>Student Name</t>
        </is>
      </c>
      <c r="D4" s="7">
        <f>T(INDIRECT("'"&amp;$G$3&amp;"'!D$4"))</f>
        <v/>
      </c>
      <c r="E4" s="7">
        <f>T(INDIRECT("'"&amp;$G$3&amp;"'!E$4"))</f>
        <v/>
      </c>
      <c r="F4" s="7">
        <f>T(INDIRECT("'"&amp;$G$3&amp;"'!F$4"))</f>
        <v/>
      </c>
      <c r="G4" s="7">
        <f>T(INDIRECT("'"&amp;$G$3&amp;"'!G$4"))</f>
        <v/>
      </c>
      <c r="H4" s="7">
        <f>T(INDIRECT("'"&amp;$G$3&amp;"'!H$4"))</f>
        <v/>
      </c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>
        <f>IF(ISBLANK(INDIRECT("'"&amp;$G$3&amp;"'!"&amp;ADDRESS(ROW(),COLUMN(),4))),"",INDIRECT("'"&amp;$G$3&amp;"'!"&amp;ADDRESS(ROW(),COLUMN(),4)))</f>
        <v/>
      </c>
      <c r="E5" s="9">
        <f>IF(ISBLANK(INDIRECT("'"&amp;$G$3&amp;"'!"&amp;ADDRESS(ROW(),COLUMN(),4))),"",INDIRECT("'"&amp;$G$3&amp;"'!"&amp;ADDRESS(ROW(),COLUMN(),4)))</f>
        <v/>
      </c>
      <c r="F5" s="9">
        <f>IF(ISBLANK(INDIRECT("'"&amp;$G$3&amp;"'!"&amp;ADDRESS(ROW(),COLUMN(),4))),"",INDIRECT("'"&amp;$G$3&amp;"'!"&amp;ADDRESS(ROW(),COLUMN(),4)))</f>
        <v/>
      </c>
      <c r="G5" s="9">
        <f>IF(ISBLANK(INDIRECT("'"&amp;$G$3&amp;"'!"&amp;ADDRESS(ROW(),COLUMN(),4))),"",INDIRECT("'"&amp;$G$3&amp;"'!"&amp;ADDRESS(ROW(),COLUMN(),4)))</f>
        <v/>
      </c>
      <c r="H5" s="9">
        <f>IF(ISBLANK(INDIRECT("'"&amp;$G$3&amp;"'!"&amp;ADDRESS(ROW(),COLUMN(),4))),"",INDIRECT("'"&amp;$G$3&amp;"'!"&amp;ADDRESS(ROW(),COLUMN(),4)))</f>
        <v/>
      </c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>
        <f>IF(ISBLANK(INDIRECT("'"&amp;$G$3&amp;"'!"&amp;ADDRESS(ROW(),COLUMN(),4))),"",INDIRECT("'"&amp;$G$3&amp;"'!"&amp;ADDRESS(ROW(),COLUMN(),4)))</f>
        <v/>
      </c>
      <c r="E6" s="9">
        <f>IF(ISBLANK(INDIRECT("'"&amp;$G$3&amp;"'!"&amp;ADDRESS(ROW(),COLUMN(),4))),"",INDIRECT("'"&amp;$G$3&amp;"'!"&amp;ADDRESS(ROW(),COLUMN(),4)))</f>
        <v/>
      </c>
      <c r="F6" s="9">
        <f>IF(ISBLANK(INDIRECT("'"&amp;$G$3&amp;"'!"&amp;ADDRESS(ROW(),COLUMN(),4))),"",INDIRECT("'"&amp;$G$3&amp;"'!"&amp;ADDRESS(ROW(),COLUMN(),4)))</f>
        <v/>
      </c>
      <c r="G6" s="9">
        <f>IF(ISBLANK(INDIRECT("'"&amp;$G$3&amp;"'!"&amp;ADDRESS(ROW(),COLUMN(),4))),"",INDIRECT("'"&amp;$G$3&amp;"'!"&amp;ADDRESS(ROW(),COLUMN(),4)))</f>
        <v/>
      </c>
      <c r="H6" s="9">
        <f>IF(ISBLANK(INDIRECT("'"&amp;$G$3&amp;"'!"&amp;ADDRESS(ROW(),COLUMN(),4))),"",INDIRECT("'"&amp;$G$3&amp;"'!"&amp;ADDRESS(ROW(),COLUMN(),4)))</f>
        <v/>
      </c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>
        <f>IF(ISBLANK(INDIRECT("'"&amp;$G$3&amp;"'!"&amp;ADDRESS(ROW(),COLUMN(),4))),"",INDIRECT("'"&amp;$G$3&amp;"'!"&amp;ADDRESS(ROW(),COLUMN(),4)))</f>
        <v/>
      </c>
      <c r="E7" s="9">
        <f>IF(ISBLANK(INDIRECT("'"&amp;$G$3&amp;"'!"&amp;ADDRESS(ROW(),COLUMN(),4))),"",INDIRECT("'"&amp;$G$3&amp;"'!"&amp;ADDRESS(ROW(),COLUMN(),4)))</f>
        <v/>
      </c>
      <c r="F7" s="9">
        <f>IF(ISBLANK(INDIRECT("'"&amp;$G$3&amp;"'!"&amp;ADDRESS(ROW(),COLUMN(),4))),"",INDIRECT("'"&amp;$G$3&amp;"'!"&amp;ADDRESS(ROW(),COLUMN(),4)))</f>
        <v/>
      </c>
      <c r="G7" s="9">
        <f>IF(ISBLANK(INDIRECT("'"&amp;$G$3&amp;"'!"&amp;ADDRESS(ROW(),COLUMN(),4))),"",INDIRECT("'"&amp;$G$3&amp;"'!"&amp;ADDRESS(ROW(),COLUMN(),4)))</f>
        <v/>
      </c>
      <c r="H7" s="9">
        <f>IF(ISBLANK(INDIRECT("'"&amp;$G$3&amp;"'!"&amp;ADDRESS(ROW(),COLUMN(),4))),"",INDIRECT("'"&amp;$G$3&amp;"'!"&amp;ADDRESS(ROW(),COLUMN(),4)))</f>
        <v/>
      </c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>
        <f>IF(ISBLANK(INDIRECT("'"&amp;$G$3&amp;"'!"&amp;ADDRESS(ROW(),COLUMN(),4))),"",INDIRECT("'"&amp;$G$3&amp;"'!"&amp;ADDRESS(ROW(),COLUMN(),4)))</f>
        <v/>
      </c>
      <c r="E8" s="9">
        <f>IF(ISBLANK(INDIRECT("'"&amp;$G$3&amp;"'!"&amp;ADDRESS(ROW(),COLUMN(),4))),"",INDIRECT("'"&amp;$G$3&amp;"'!"&amp;ADDRESS(ROW(),COLUMN(),4)))</f>
        <v/>
      </c>
      <c r="F8" s="9">
        <f>IF(ISBLANK(INDIRECT("'"&amp;$G$3&amp;"'!"&amp;ADDRESS(ROW(),COLUMN(),4))),"",INDIRECT("'"&amp;$G$3&amp;"'!"&amp;ADDRESS(ROW(),COLUMN(),4)))</f>
        <v/>
      </c>
      <c r="G8" s="9">
        <f>IF(ISBLANK(INDIRECT("'"&amp;$G$3&amp;"'!"&amp;ADDRESS(ROW(),COLUMN(),4))),"",INDIRECT("'"&amp;$G$3&amp;"'!"&amp;ADDRESS(ROW(),COLUMN(),4)))</f>
        <v/>
      </c>
      <c r="H8" s="9">
        <f>IF(ISBLANK(INDIRECT("'"&amp;$G$3&amp;"'!"&amp;ADDRESS(ROW(),COLUMN(),4))),"",INDIRECT("'"&amp;$G$3&amp;"'!"&amp;ADDRESS(ROW(),COLUMN(),4)))</f>
        <v/>
      </c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>
        <f>IF(ISBLANK(INDIRECT("'"&amp;$G$3&amp;"'!"&amp;ADDRESS(ROW(),COLUMN(),4))),"",INDIRECT("'"&amp;$G$3&amp;"'!"&amp;ADDRESS(ROW(),COLUMN(),4)))</f>
        <v/>
      </c>
      <c r="E9" s="9">
        <f>IF(ISBLANK(INDIRECT("'"&amp;$G$3&amp;"'!"&amp;ADDRESS(ROW(),COLUMN(),4))),"",INDIRECT("'"&amp;$G$3&amp;"'!"&amp;ADDRESS(ROW(),COLUMN(),4)))</f>
        <v/>
      </c>
      <c r="F9" s="9">
        <f>IF(ISBLANK(INDIRECT("'"&amp;$G$3&amp;"'!"&amp;ADDRESS(ROW(),COLUMN(),4))),"",INDIRECT("'"&amp;$G$3&amp;"'!"&amp;ADDRESS(ROW(),COLUMN(),4)))</f>
        <v/>
      </c>
      <c r="G9" s="9">
        <f>IF(ISBLANK(INDIRECT("'"&amp;$G$3&amp;"'!"&amp;ADDRESS(ROW(),COLUMN(),4))),"",INDIRECT("'"&amp;$G$3&amp;"'!"&amp;ADDRESS(ROW(),COLUMN(),4)))</f>
        <v/>
      </c>
      <c r="H9" s="9">
        <f>IF(ISBLANK(INDIRECT("'"&amp;$G$3&amp;"'!"&amp;ADDRESS(ROW(),COLUMN(),4))),"",INDIRECT("'"&amp;$G$3&amp;"'!"&amp;ADDRESS(ROW(),COLUMN(),4)))</f>
        <v/>
      </c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>
        <f>IF(ISBLANK(INDIRECT("'"&amp;$G$3&amp;"'!"&amp;ADDRESS(ROW(),COLUMN(),4))),"",INDIRECT("'"&amp;$G$3&amp;"'!"&amp;ADDRESS(ROW(),COLUMN(),4)))</f>
        <v/>
      </c>
      <c r="E10" s="9">
        <f>IF(ISBLANK(INDIRECT("'"&amp;$G$3&amp;"'!"&amp;ADDRESS(ROW(),COLUMN(),4))),"",INDIRECT("'"&amp;$G$3&amp;"'!"&amp;ADDRESS(ROW(),COLUMN(),4)))</f>
        <v/>
      </c>
      <c r="F10" s="9">
        <f>IF(ISBLANK(INDIRECT("'"&amp;$G$3&amp;"'!"&amp;ADDRESS(ROW(),COLUMN(),4))),"",INDIRECT("'"&amp;$G$3&amp;"'!"&amp;ADDRESS(ROW(),COLUMN(),4)))</f>
        <v/>
      </c>
      <c r="G10" s="9">
        <f>IF(ISBLANK(INDIRECT("'"&amp;$G$3&amp;"'!"&amp;ADDRESS(ROW(),COLUMN(),4))),"",INDIRECT("'"&amp;$G$3&amp;"'!"&amp;ADDRESS(ROW(),COLUMN(),4)))</f>
        <v/>
      </c>
      <c r="H10" s="9">
        <f>IF(ISBLANK(INDIRECT("'"&amp;$G$3&amp;"'!"&amp;ADDRESS(ROW(),COLUMN(),4))),"",INDIRECT("'"&amp;$G$3&amp;"'!"&amp;ADDRESS(ROW(),COLUMN(),4)))</f>
        <v/>
      </c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>
        <f>IF(ISBLANK(INDIRECT("'"&amp;$G$3&amp;"'!"&amp;ADDRESS(ROW(),COLUMN(),4))),"",INDIRECT("'"&amp;$G$3&amp;"'!"&amp;ADDRESS(ROW(),COLUMN(),4)))</f>
        <v/>
      </c>
      <c r="E11" s="9">
        <f>IF(ISBLANK(INDIRECT("'"&amp;$G$3&amp;"'!"&amp;ADDRESS(ROW(),COLUMN(),4))),"",INDIRECT("'"&amp;$G$3&amp;"'!"&amp;ADDRESS(ROW(),COLUMN(),4)))</f>
        <v/>
      </c>
      <c r="F11" s="9">
        <f>IF(ISBLANK(INDIRECT("'"&amp;$G$3&amp;"'!"&amp;ADDRESS(ROW(),COLUMN(),4))),"",INDIRECT("'"&amp;$G$3&amp;"'!"&amp;ADDRESS(ROW(),COLUMN(),4)))</f>
        <v/>
      </c>
      <c r="G11" s="9">
        <f>IF(ISBLANK(INDIRECT("'"&amp;$G$3&amp;"'!"&amp;ADDRESS(ROW(),COLUMN(),4))),"",INDIRECT("'"&amp;$G$3&amp;"'!"&amp;ADDRESS(ROW(),COLUMN(),4)))</f>
        <v/>
      </c>
      <c r="H11" s="9">
        <f>IF(ISBLANK(INDIRECT("'"&amp;$G$3&amp;"'!"&amp;ADDRESS(ROW(),COLUMN(),4))),"",INDIRECT("'"&amp;$G$3&amp;"'!"&amp;ADDRESS(ROW(),COLUMN(),4)))</f>
        <v/>
      </c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>
        <f>IF(ISBLANK(INDIRECT("'"&amp;$G$3&amp;"'!"&amp;ADDRESS(ROW(),COLUMN(),4))),"",INDIRECT("'"&amp;$G$3&amp;"'!"&amp;ADDRESS(ROW(),COLUMN(),4)))</f>
        <v/>
      </c>
      <c r="E12" s="9">
        <f>IF(ISBLANK(INDIRECT("'"&amp;$G$3&amp;"'!"&amp;ADDRESS(ROW(),COLUMN(),4))),"",INDIRECT("'"&amp;$G$3&amp;"'!"&amp;ADDRESS(ROW(),COLUMN(),4)))</f>
        <v/>
      </c>
      <c r="F12" s="9">
        <f>IF(ISBLANK(INDIRECT("'"&amp;$G$3&amp;"'!"&amp;ADDRESS(ROW(),COLUMN(),4))),"",INDIRECT("'"&amp;$G$3&amp;"'!"&amp;ADDRESS(ROW(),COLUMN(),4)))</f>
        <v/>
      </c>
      <c r="G12" s="9">
        <f>IF(ISBLANK(INDIRECT("'"&amp;$G$3&amp;"'!"&amp;ADDRESS(ROW(),COLUMN(),4))),"",INDIRECT("'"&amp;$G$3&amp;"'!"&amp;ADDRESS(ROW(),COLUMN(),4)))</f>
        <v/>
      </c>
      <c r="H12" s="9">
        <f>IF(ISBLANK(INDIRECT("'"&amp;$G$3&amp;"'!"&amp;ADDRESS(ROW(),COLUMN(),4))),"",INDIRECT("'"&amp;$G$3&amp;"'!"&amp;ADDRESS(ROW(),COLUMN(),4)))</f>
        <v/>
      </c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>
        <f>IF(ISBLANK(INDIRECT("'"&amp;$G$3&amp;"'!"&amp;ADDRESS(ROW(),COLUMN(),4))),"",INDIRECT("'"&amp;$G$3&amp;"'!"&amp;ADDRESS(ROW(),COLUMN(),4)))</f>
        <v/>
      </c>
      <c r="E13" s="9">
        <f>IF(ISBLANK(INDIRECT("'"&amp;$G$3&amp;"'!"&amp;ADDRESS(ROW(),COLUMN(),4))),"",INDIRECT("'"&amp;$G$3&amp;"'!"&amp;ADDRESS(ROW(),COLUMN(),4)))</f>
        <v/>
      </c>
      <c r="F13" s="9">
        <f>IF(ISBLANK(INDIRECT("'"&amp;$G$3&amp;"'!"&amp;ADDRESS(ROW(),COLUMN(),4))),"",INDIRECT("'"&amp;$G$3&amp;"'!"&amp;ADDRESS(ROW(),COLUMN(),4)))</f>
        <v/>
      </c>
      <c r="G13" s="9">
        <f>IF(ISBLANK(INDIRECT("'"&amp;$G$3&amp;"'!"&amp;ADDRESS(ROW(),COLUMN(),4))),"",INDIRECT("'"&amp;$G$3&amp;"'!"&amp;ADDRESS(ROW(),COLUMN(),4)))</f>
        <v/>
      </c>
      <c r="H13" s="9">
        <f>IF(ISBLANK(INDIRECT("'"&amp;$G$3&amp;"'!"&amp;ADDRESS(ROW(),COLUMN(),4))),"",INDIRECT("'"&amp;$G$3&amp;"'!"&amp;ADDRESS(ROW(),COLUMN(),4)))</f>
        <v/>
      </c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>
        <f>IF(ISBLANK(INDIRECT("'"&amp;$G$3&amp;"'!"&amp;ADDRESS(ROW(),COLUMN(),4))),"",INDIRECT("'"&amp;$G$3&amp;"'!"&amp;ADDRESS(ROW(),COLUMN(),4)))</f>
        <v/>
      </c>
      <c r="E14" s="9">
        <f>IF(ISBLANK(INDIRECT("'"&amp;$G$3&amp;"'!"&amp;ADDRESS(ROW(),COLUMN(),4))),"",INDIRECT("'"&amp;$G$3&amp;"'!"&amp;ADDRESS(ROW(),COLUMN(),4)))</f>
        <v/>
      </c>
      <c r="F14" s="9">
        <f>IF(ISBLANK(INDIRECT("'"&amp;$G$3&amp;"'!"&amp;ADDRESS(ROW(),COLUMN(),4))),"",INDIRECT("'"&amp;$G$3&amp;"'!"&amp;ADDRESS(ROW(),COLUMN(),4)))</f>
        <v/>
      </c>
      <c r="G14" s="9">
        <f>IF(ISBLANK(INDIRECT("'"&amp;$G$3&amp;"'!"&amp;ADDRESS(ROW(),COLUMN(),4))),"",INDIRECT("'"&amp;$G$3&amp;"'!"&amp;ADDRESS(ROW(),COLUMN(),4)))</f>
        <v/>
      </c>
      <c r="H14" s="9">
        <f>IF(ISBLANK(INDIRECT("'"&amp;$G$3&amp;"'!"&amp;ADDRESS(ROW(),COLUMN(),4))),"",INDIRECT("'"&amp;$G$3&amp;"'!"&amp;ADDRESS(ROW(),COLUMN(),4)))</f>
        <v/>
      </c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>
        <f>IF(ISBLANK(INDIRECT("'"&amp;$G$3&amp;"'!"&amp;ADDRESS(ROW(),COLUMN(),4))),"",INDIRECT("'"&amp;$G$3&amp;"'!"&amp;ADDRESS(ROW(),COLUMN(),4)))</f>
        <v/>
      </c>
      <c r="E15" s="9">
        <f>IF(ISBLANK(INDIRECT("'"&amp;$G$3&amp;"'!"&amp;ADDRESS(ROW(),COLUMN(),4))),"",INDIRECT("'"&amp;$G$3&amp;"'!"&amp;ADDRESS(ROW(),COLUMN(),4)))</f>
        <v/>
      </c>
      <c r="F15" s="9">
        <f>IF(ISBLANK(INDIRECT("'"&amp;$G$3&amp;"'!"&amp;ADDRESS(ROW(),COLUMN(),4))),"",INDIRECT("'"&amp;$G$3&amp;"'!"&amp;ADDRESS(ROW(),COLUMN(),4)))</f>
        <v/>
      </c>
      <c r="G15" s="9">
        <f>IF(ISBLANK(INDIRECT("'"&amp;$G$3&amp;"'!"&amp;ADDRESS(ROW(),COLUMN(),4))),"",INDIRECT("'"&amp;$G$3&amp;"'!"&amp;ADDRESS(ROW(),COLUMN(),4)))</f>
        <v/>
      </c>
      <c r="H15" s="9">
        <f>IF(ISBLANK(INDIRECT("'"&amp;$G$3&amp;"'!"&amp;ADDRESS(ROW(),COLUMN(),4))),"",INDIRECT("'"&amp;$G$3&amp;"'!"&amp;ADDRESS(ROW(),COLUMN(),4)))</f>
        <v/>
      </c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>
        <f>IF(ISBLANK(INDIRECT("'"&amp;$G$3&amp;"'!"&amp;ADDRESS(ROW(),COLUMN(),4))),"",INDIRECT("'"&amp;$G$3&amp;"'!"&amp;ADDRESS(ROW(),COLUMN(),4)))</f>
        <v/>
      </c>
      <c r="E16" s="9">
        <f>IF(ISBLANK(INDIRECT("'"&amp;$G$3&amp;"'!"&amp;ADDRESS(ROW(),COLUMN(),4))),"",INDIRECT("'"&amp;$G$3&amp;"'!"&amp;ADDRESS(ROW(),COLUMN(),4)))</f>
        <v/>
      </c>
      <c r="F16" s="9">
        <f>IF(ISBLANK(INDIRECT("'"&amp;$G$3&amp;"'!"&amp;ADDRESS(ROW(),COLUMN(),4))),"",INDIRECT("'"&amp;$G$3&amp;"'!"&amp;ADDRESS(ROW(),COLUMN(),4)))</f>
        <v/>
      </c>
      <c r="G16" s="9">
        <f>IF(ISBLANK(INDIRECT("'"&amp;$G$3&amp;"'!"&amp;ADDRESS(ROW(),COLUMN(),4))),"",INDIRECT("'"&amp;$G$3&amp;"'!"&amp;ADDRESS(ROW(),COLUMN(),4)))</f>
        <v/>
      </c>
      <c r="H16" s="9">
        <f>IF(ISBLANK(INDIRECT("'"&amp;$G$3&amp;"'!"&amp;ADDRESS(ROW(),COLUMN(),4))),"",INDIRECT("'"&amp;$G$3&amp;"'!"&amp;ADDRESS(ROW(),COLUMN(),4)))</f>
        <v/>
      </c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>
        <f>IF(ISBLANK(INDIRECT("'"&amp;$G$3&amp;"'!"&amp;ADDRESS(ROW(),COLUMN(),4))),"",INDIRECT("'"&amp;$G$3&amp;"'!"&amp;ADDRESS(ROW(),COLUMN(),4)))</f>
        <v/>
      </c>
      <c r="E17" s="9">
        <f>IF(ISBLANK(INDIRECT("'"&amp;$G$3&amp;"'!"&amp;ADDRESS(ROW(),COLUMN(),4))),"",INDIRECT("'"&amp;$G$3&amp;"'!"&amp;ADDRESS(ROW(),COLUMN(),4)))</f>
        <v/>
      </c>
      <c r="F17" s="9">
        <f>IF(ISBLANK(INDIRECT("'"&amp;$G$3&amp;"'!"&amp;ADDRESS(ROW(),COLUMN(),4))),"",INDIRECT("'"&amp;$G$3&amp;"'!"&amp;ADDRESS(ROW(),COLUMN(),4)))</f>
        <v/>
      </c>
      <c r="G17" s="9">
        <f>IF(ISBLANK(INDIRECT("'"&amp;$G$3&amp;"'!"&amp;ADDRESS(ROW(),COLUMN(),4))),"",INDIRECT("'"&amp;$G$3&amp;"'!"&amp;ADDRESS(ROW(),COLUMN(),4)))</f>
        <v/>
      </c>
      <c r="H17" s="9">
        <f>IF(ISBLANK(INDIRECT("'"&amp;$G$3&amp;"'!"&amp;ADDRESS(ROW(),COLUMN(),4))),"",INDIRECT("'"&amp;$G$3&amp;"'!"&amp;ADDRESS(ROW(),COLUMN(),4)))</f>
        <v/>
      </c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>
        <f>IF(ISBLANK(INDIRECT("'"&amp;$G$3&amp;"'!"&amp;ADDRESS(ROW(),COLUMN(),4))),"",INDIRECT("'"&amp;$G$3&amp;"'!"&amp;ADDRESS(ROW(),COLUMN(),4)))</f>
        <v/>
      </c>
      <c r="E18" s="9">
        <f>IF(ISBLANK(INDIRECT("'"&amp;$G$3&amp;"'!"&amp;ADDRESS(ROW(),COLUMN(),4))),"",INDIRECT("'"&amp;$G$3&amp;"'!"&amp;ADDRESS(ROW(),COLUMN(),4)))</f>
        <v/>
      </c>
      <c r="F18" s="9">
        <f>IF(ISBLANK(INDIRECT("'"&amp;$G$3&amp;"'!"&amp;ADDRESS(ROW(),COLUMN(),4))),"",INDIRECT("'"&amp;$G$3&amp;"'!"&amp;ADDRESS(ROW(),COLUMN(),4)))</f>
        <v/>
      </c>
      <c r="G18" s="9">
        <f>IF(ISBLANK(INDIRECT("'"&amp;$G$3&amp;"'!"&amp;ADDRESS(ROW(),COLUMN(),4))),"",INDIRECT("'"&amp;$G$3&amp;"'!"&amp;ADDRESS(ROW(),COLUMN(),4)))</f>
        <v/>
      </c>
      <c r="H18" s="9">
        <f>IF(ISBLANK(INDIRECT("'"&amp;$G$3&amp;"'!"&amp;ADDRESS(ROW(),COLUMN(),4))),"",INDIRECT("'"&amp;$G$3&amp;"'!"&amp;ADDRESS(ROW(),COLUMN(),4)))</f>
        <v/>
      </c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>
        <f>IF(ISBLANK(INDIRECT("'"&amp;$G$3&amp;"'!"&amp;ADDRESS(ROW(),COLUMN(),4))),"",INDIRECT("'"&amp;$G$3&amp;"'!"&amp;ADDRESS(ROW(),COLUMN(),4)))</f>
        <v/>
      </c>
      <c r="E19" s="9">
        <f>IF(ISBLANK(INDIRECT("'"&amp;$G$3&amp;"'!"&amp;ADDRESS(ROW(),COLUMN(),4))),"",INDIRECT("'"&amp;$G$3&amp;"'!"&amp;ADDRESS(ROW(),COLUMN(),4)))</f>
        <v/>
      </c>
      <c r="F19" s="9">
        <f>IF(ISBLANK(INDIRECT("'"&amp;$G$3&amp;"'!"&amp;ADDRESS(ROW(),COLUMN(),4))),"",INDIRECT("'"&amp;$G$3&amp;"'!"&amp;ADDRESS(ROW(),COLUMN(),4)))</f>
        <v/>
      </c>
      <c r="G19" s="9">
        <f>IF(ISBLANK(INDIRECT("'"&amp;$G$3&amp;"'!"&amp;ADDRESS(ROW(),COLUMN(),4))),"",INDIRECT("'"&amp;$G$3&amp;"'!"&amp;ADDRESS(ROW(),COLUMN(),4)))</f>
        <v/>
      </c>
      <c r="H19" s="9">
        <f>IF(ISBLANK(INDIRECT("'"&amp;$G$3&amp;"'!"&amp;ADDRESS(ROW(),COLUMN(),4))),"",INDIRECT("'"&amp;$G$3&amp;"'!"&amp;ADDRESS(ROW(),COLUMN(),4)))</f>
        <v/>
      </c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>
        <f>IF(ISBLANK(INDIRECT("'"&amp;$G$3&amp;"'!"&amp;ADDRESS(ROW(),COLUMN(),4))),"",INDIRECT("'"&amp;$G$3&amp;"'!"&amp;ADDRESS(ROW(),COLUMN(),4)))</f>
        <v/>
      </c>
      <c r="E20" s="9">
        <f>IF(ISBLANK(INDIRECT("'"&amp;$G$3&amp;"'!"&amp;ADDRESS(ROW(),COLUMN(),4))),"",INDIRECT("'"&amp;$G$3&amp;"'!"&amp;ADDRESS(ROW(),COLUMN(),4)))</f>
        <v/>
      </c>
      <c r="F20" s="9">
        <f>IF(ISBLANK(INDIRECT("'"&amp;$G$3&amp;"'!"&amp;ADDRESS(ROW(),COLUMN(),4))),"",INDIRECT("'"&amp;$G$3&amp;"'!"&amp;ADDRESS(ROW(),COLUMN(),4)))</f>
        <v/>
      </c>
      <c r="G20" s="9">
        <f>IF(ISBLANK(INDIRECT("'"&amp;$G$3&amp;"'!"&amp;ADDRESS(ROW(),COLUMN(),4))),"",INDIRECT("'"&amp;$G$3&amp;"'!"&amp;ADDRESS(ROW(),COLUMN(),4)))</f>
        <v/>
      </c>
      <c r="H20" s="9">
        <f>IF(ISBLANK(INDIRECT("'"&amp;$G$3&amp;"'!"&amp;ADDRESS(ROW(),COLUMN(),4))),"",INDIRECT("'"&amp;$G$3&amp;"'!"&amp;ADDRESS(ROW(),COLUMN(),4)))</f>
        <v/>
      </c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>
        <f>IF(ISBLANK(INDIRECT("'"&amp;$G$3&amp;"'!"&amp;ADDRESS(ROW(),COLUMN(),4))),"",INDIRECT("'"&amp;$G$3&amp;"'!"&amp;ADDRESS(ROW(),COLUMN(),4)))</f>
        <v/>
      </c>
      <c r="E21" s="9">
        <f>IF(ISBLANK(INDIRECT("'"&amp;$G$3&amp;"'!"&amp;ADDRESS(ROW(),COLUMN(),4))),"",INDIRECT("'"&amp;$G$3&amp;"'!"&amp;ADDRESS(ROW(),COLUMN(),4)))</f>
        <v/>
      </c>
      <c r="F21" s="9">
        <f>IF(ISBLANK(INDIRECT("'"&amp;$G$3&amp;"'!"&amp;ADDRESS(ROW(),COLUMN(),4))),"",INDIRECT("'"&amp;$G$3&amp;"'!"&amp;ADDRESS(ROW(),COLUMN(),4)))</f>
        <v/>
      </c>
      <c r="G21" s="9">
        <f>IF(ISBLANK(INDIRECT("'"&amp;$G$3&amp;"'!"&amp;ADDRESS(ROW(),COLUMN(),4))),"",INDIRECT("'"&amp;$G$3&amp;"'!"&amp;ADDRESS(ROW(),COLUMN(),4)))</f>
        <v/>
      </c>
      <c r="H21" s="9">
        <f>IF(ISBLANK(INDIRECT("'"&amp;$G$3&amp;"'!"&amp;ADDRESS(ROW(),COLUMN(),4))),"",INDIRECT("'"&amp;$G$3&amp;"'!"&amp;ADDRESS(ROW(),COLUMN(),4)))</f>
        <v/>
      </c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>
        <f>IF(ISBLANK(INDIRECT("'"&amp;$G$3&amp;"'!"&amp;ADDRESS(ROW(),COLUMN(),4))),"",INDIRECT("'"&amp;$G$3&amp;"'!"&amp;ADDRESS(ROW(),COLUMN(),4)))</f>
        <v/>
      </c>
      <c r="E22" s="9">
        <f>IF(ISBLANK(INDIRECT("'"&amp;$G$3&amp;"'!"&amp;ADDRESS(ROW(),COLUMN(),4))),"",INDIRECT("'"&amp;$G$3&amp;"'!"&amp;ADDRESS(ROW(),COLUMN(),4)))</f>
        <v/>
      </c>
      <c r="F22" s="9">
        <f>IF(ISBLANK(INDIRECT("'"&amp;$G$3&amp;"'!"&amp;ADDRESS(ROW(),COLUMN(),4))),"",INDIRECT("'"&amp;$G$3&amp;"'!"&amp;ADDRESS(ROW(),COLUMN(),4)))</f>
        <v/>
      </c>
      <c r="G22" s="9">
        <f>IF(ISBLANK(INDIRECT("'"&amp;$G$3&amp;"'!"&amp;ADDRESS(ROW(),COLUMN(),4))),"",INDIRECT("'"&amp;$G$3&amp;"'!"&amp;ADDRESS(ROW(),COLUMN(),4)))</f>
        <v/>
      </c>
      <c r="H22" s="9">
        <f>IF(ISBLANK(INDIRECT("'"&amp;$G$3&amp;"'!"&amp;ADDRESS(ROW(),COLUMN(),4))),"",INDIRECT("'"&amp;$G$3&amp;"'!"&amp;ADDRESS(ROW(),COLUMN(),4)))</f>
        <v/>
      </c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>
        <f>IF(ISBLANK(INDIRECT("'"&amp;$G$3&amp;"'!"&amp;ADDRESS(ROW(),COLUMN(),4))),"",INDIRECT("'"&amp;$G$3&amp;"'!"&amp;ADDRESS(ROW(),COLUMN(),4)))</f>
        <v/>
      </c>
      <c r="E23" s="9">
        <f>IF(ISBLANK(INDIRECT("'"&amp;$G$3&amp;"'!"&amp;ADDRESS(ROW(),COLUMN(),4))),"",INDIRECT("'"&amp;$G$3&amp;"'!"&amp;ADDRESS(ROW(),COLUMN(),4)))</f>
        <v/>
      </c>
      <c r="F23" s="9">
        <f>IF(ISBLANK(INDIRECT("'"&amp;$G$3&amp;"'!"&amp;ADDRESS(ROW(),COLUMN(),4))),"",INDIRECT("'"&amp;$G$3&amp;"'!"&amp;ADDRESS(ROW(),COLUMN(),4)))</f>
        <v/>
      </c>
      <c r="G23" s="9">
        <f>IF(ISBLANK(INDIRECT("'"&amp;$G$3&amp;"'!"&amp;ADDRESS(ROW(),COLUMN(),4))),"",INDIRECT("'"&amp;$G$3&amp;"'!"&amp;ADDRESS(ROW(),COLUMN(),4)))</f>
        <v/>
      </c>
      <c r="H23" s="9">
        <f>IF(ISBLANK(INDIRECT("'"&amp;$G$3&amp;"'!"&amp;ADDRESS(ROW(),COLUMN(),4))),"",INDIRECT("'"&amp;$G$3&amp;"'!"&amp;ADDRESS(ROW(),COLUMN(),4)))</f>
        <v/>
      </c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>
        <f>IF(ISBLANK(INDIRECT("'"&amp;$G$3&amp;"'!"&amp;ADDRESS(ROW(),COLUMN(),4))),"",INDIRECT("'"&amp;$G$3&amp;"'!"&amp;ADDRESS(ROW(),COLUMN(),4)))</f>
        <v/>
      </c>
      <c r="E24" s="9">
        <f>IF(ISBLANK(INDIRECT("'"&amp;$G$3&amp;"'!"&amp;ADDRESS(ROW(),COLUMN(),4))),"",INDIRECT("'"&amp;$G$3&amp;"'!"&amp;ADDRESS(ROW(),COLUMN(),4)))</f>
        <v/>
      </c>
      <c r="F24" s="9">
        <f>IF(ISBLANK(INDIRECT("'"&amp;$G$3&amp;"'!"&amp;ADDRESS(ROW(),COLUMN(),4))),"",INDIRECT("'"&amp;$G$3&amp;"'!"&amp;ADDRESS(ROW(),COLUMN(),4)))</f>
        <v/>
      </c>
      <c r="G24" s="9">
        <f>IF(ISBLANK(INDIRECT("'"&amp;$G$3&amp;"'!"&amp;ADDRESS(ROW(),COLUMN(),4))),"",INDIRECT("'"&amp;$G$3&amp;"'!"&amp;ADDRESS(ROW(),COLUMN(),4)))</f>
        <v/>
      </c>
      <c r="H24" s="9">
        <f>IF(ISBLANK(INDIRECT("'"&amp;$G$3&amp;"'!"&amp;ADDRESS(ROW(),COLUMN(),4))),"",INDIRECT("'"&amp;$G$3&amp;"'!"&amp;ADDRESS(ROW(),COLUMN(),4)))</f>
        <v/>
      </c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>
        <f>IF(ISBLANK(INDIRECT("'"&amp;$G$3&amp;"'!"&amp;ADDRESS(ROW(),COLUMN(),4))),"",INDIRECT("'"&amp;$G$3&amp;"'!"&amp;ADDRESS(ROW(),COLUMN(),4)))</f>
        <v/>
      </c>
      <c r="E25" s="9">
        <f>IF(ISBLANK(INDIRECT("'"&amp;$G$3&amp;"'!"&amp;ADDRESS(ROW(),COLUMN(),4))),"",INDIRECT("'"&amp;$G$3&amp;"'!"&amp;ADDRESS(ROW(),COLUMN(),4)))</f>
        <v/>
      </c>
      <c r="F25" s="9">
        <f>IF(ISBLANK(INDIRECT("'"&amp;$G$3&amp;"'!"&amp;ADDRESS(ROW(),COLUMN(),4))),"",INDIRECT("'"&amp;$G$3&amp;"'!"&amp;ADDRESS(ROW(),COLUMN(),4)))</f>
        <v/>
      </c>
      <c r="G25" s="9">
        <f>IF(ISBLANK(INDIRECT("'"&amp;$G$3&amp;"'!"&amp;ADDRESS(ROW(),COLUMN(),4))),"",INDIRECT("'"&amp;$G$3&amp;"'!"&amp;ADDRESS(ROW(),COLUMN(),4)))</f>
        <v/>
      </c>
      <c r="H25" s="9">
        <f>IF(ISBLANK(INDIRECT("'"&amp;$G$3&amp;"'!"&amp;ADDRESS(ROW(),COLUMN(),4))),"",INDIRECT("'"&amp;$G$3&amp;"'!"&amp;ADDRESS(ROW(),COLUMN(),4)))</f>
        <v/>
      </c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>
        <f>IF(ISBLANK(INDIRECT("'"&amp;$G$3&amp;"'!"&amp;ADDRESS(ROW(),COLUMN(),4))),"",INDIRECT("'"&amp;$G$3&amp;"'!"&amp;ADDRESS(ROW(),COLUMN(),4)))</f>
        <v/>
      </c>
      <c r="E26" s="9">
        <f>IF(ISBLANK(INDIRECT("'"&amp;$G$3&amp;"'!"&amp;ADDRESS(ROW(),COLUMN(),4))),"",INDIRECT("'"&amp;$G$3&amp;"'!"&amp;ADDRESS(ROW(),COLUMN(),4)))</f>
        <v/>
      </c>
      <c r="F26" s="9">
        <f>IF(ISBLANK(INDIRECT("'"&amp;$G$3&amp;"'!"&amp;ADDRESS(ROW(),COLUMN(),4))),"",INDIRECT("'"&amp;$G$3&amp;"'!"&amp;ADDRESS(ROW(),COLUMN(),4)))</f>
        <v/>
      </c>
      <c r="G26" s="9">
        <f>IF(ISBLANK(INDIRECT("'"&amp;$G$3&amp;"'!"&amp;ADDRESS(ROW(),COLUMN(),4))),"",INDIRECT("'"&amp;$G$3&amp;"'!"&amp;ADDRESS(ROW(),COLUMN(),4)))</f>
        <v/>
      </c>
      <c r="H26" s="9">
        <f>IF(ISBLANK(INDIRECT("'"&amp;$G$3&amp;"'!"&amp;ADDRESS(ROW(),COLUMN(),4))),"",INDIRECT("'"&amp;$G$3&amp;"'!"&amp;ADDRESS(ROW(),COLUMN(),4)))</f>
        <v/>
      </c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>
        <f>IF(ISBLANK(INDIRECT("'"&amp;$G$3&amp;"'!"&amp;ADDRESS(ROW(),COLUMN(),4))),"",INDIRECT("'"&amp;$G$3&amp;"'!"&amp;ADDRESS(ROW(),COLUMN(),4)))</f>
        <v/>
      </c>
      <c r="E27" s="9">
        <f>IF(ISBLANK(INDIRECT("'"&amp;$G$3&amp;"'!"&amp;ADDRESS(ROW(),COLUMN(),4))),"",INDIRECT("'"&amp;$G$3&amp;"'!"&amp;ADDRESS(ROW(),COLUMN(),4)))</f>
        <v/>
      </c>
      <c r="F27" s="9">
        <f>IF(ISBLANK(INDIRECT("'"&amp;$G$3&amp;"'!"&amp;ADDRESS(ROW(),COLUMN(),4))),"",INDIRECT("'"&amp;$G$3&amp;"'!"&amp;ADDRESS(ROW(),COLUMN(),4)))</f>
        <v/>
      </c>
      <c r="G27" s="9">
        <f>IF(ISBLANK(INDIRECT("'"&amp;$G$3&amp;"'!"&amp;ADDRESS(ROW(),COLUMN(),4))),"",INDIRECT("'"&amp;$G$3&amp;"'!"&amp;ADDRESS(ROW(),COLUMN(),4)))</f>
        <v/>
      </c>
      <c r="H27" s="9">
        <f>IF(ISBLANK(INDIRECT("'"&amp;$G$3&amp;"'!"&amp;ADDRESS(ROW(),COLUMN(),4))),"",INDIRECT("'"&amp;$G$3&amp;"'!"&amp;ADDRESS(ROW(),COLUMN(),4)))</f>
        <v/>
      </c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  <row r="30">
      <c r="B30" s="14" t="inlineStr">
        <is>
          <t>HOW TO USE: Pick a month in the blue box (G3) to view it here. Mark attendance on the MONTH TABS (1 = present, 0 = absent, blank = not marked). This dashboard is view-only - its cells are formulas.</t>
        </is>
      </c>
    </row>
    <row r="31"/>
  </sheetData>
  <mergeCells count="3">
    <mergeCell ref="B30:J31"/>
    <mergeCell ref="A1:J1"/>
    <mergeCell ref="G3:I3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1">
    <dataValidation sqref="G3" showDropDown="0" showInputMessage="0" showErrorMessage="0" allowBlank="0" type="list">
      <formula1>'Month-Year List'!$A$2:$A$13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13" customWidth="1" min="15" max="15"/>
    <col width="13" customWidth="1" min="16" max="16"/>
    <col width="16" customWidth="1" min="17" max="17"/>
  </cols>
  <sheetData>
    <row r="1">
      <c r="A1" s="1" t="inlineStr">
        <is>
          <t>Year Summary - Attendance 2026-2027</t>
        </is>
      </c>
    </row>
    <row r="2">
      <c r="N2" s="15" t="inlineStr">
        <is>
          <t>Total Sundays:</t>
        </is>
      </c>
      <c r="O2" s="5" t="n">
        <v>52</v>
      </c>
    </row>
    <row r="3">
      <c r="A3" s="6" t="inlineStr">
        <is>
          <t>Grade</t>
        </is>
      </c>
      <c r="B3" s="6" t="inlineStr">
        <is>
          <t>Student Name</t>
        </is>
      </c>
      <c r="C3" s="7" t="inlineStr">
        <is>
          <t>Aug '26</t>
        </is>
      </c>
      <c r="D3" s="7" t="inlineStr">
        <is>
          <t>Sep '26</t>
        </is>
      </c>
      <c r="E3" s="7" t="inlineStr">
        <is>
          <t>Oct '26</t>
        </is>
      </c>
      <c r="F3" s="7" t="inlineStr">
        <is>
          <t>Nov '26</t>
        </is>
      </c>
      <c r="G3" s="7" t="inlineStr">
        <is>
          <t>Dec '26</t>
        </is>
      </c>
      <c r="H3" s="7" t="inlineStr">
        <is>
          <t>Jan '27</t>
        </is>
      </c>
      <c r="I3" s="7" t="inlineStr">
        <is>
          <t>Feb '27</t>
        </is>
      </c>
      <c r="J3" s="7" t="inlineStr">
        <is>
          <t>Mar '27</t>
        </is>
      </c>
      <c r="K3" s="7" t="inlineStr">
        <is>
          <t>Apr '27</t>
        </is>
      </c>
      <c r="L3" s="7" t="inlineStr">
        <is>
          <t>May '27</t>
        </is>
      </c>
      <c r="M3" s="7" t="inlineStr">
        <is>
          <t>Jun '27</t>
        </is>
      </c>
      <c r="N3" s="7" t="inlineStr">
        <is>
          <t>Jul '27</t>
        </is>
      </c>
      <c r="O3" s="8" t="inlineStr">
        <is>
          <t>Total Present</t>
        </is>
      </c>
      <c r="P3" s="8" t="inlineStr">
        <is>
          <t>Attendance %</t>
        </is>
      </c>
      <c r="Q3" s="8" t="inlineStr">
        <is>
          <t>Status</t>
        </is>
      </c>
    </row>
    <row r="4">
      <c r="A4" s="9" t="inlineStr">
        <is>
          <t>1st</t>
        </is>
      </c>
      <c r="B4" s="10" t="inlineStr">
        <is>
          <t>Ethan Renju George</t>
        </is>
      </c>
      <c r="C4" s="9">
        <f>'August 2026'!I5</f>
        <v/>
      </c>
      <c r="D4" s="9">
        <f>'September 2026'!I5</f>
        <v/>
      </c>
      <c r="E4" s="9">
        <f>'October 2026'!I5</f>
        <v/>
      </c>
      <c r="F4" s="9">
        <f>'November 2026'!I5</f>
        <v/>
      </c>
      <c r="G4" s="9">
        <f>'December 2026'!I5</f>
        <v/>
      </c>
      <c r="H4" s="9">
        <f>'January 2027'!I5</f>
        <v/>
      </c>
      <c r="I4" s="9">
        <f>'February 2027'!I5</f>
        <v/>
      </c>
      <c r="J4" s="9">
        <f>'March 2027'!I5</f>
        <v/>
      </c>
      <c r="K4" s="9">
        <f>'April 2027'!I5</f>
        <v/>
      </c>
      <c r="L4" s="9">
        <f>'May 2027'!I5</f>
        <v/>
      </c>
      <c r="M4" s="9">
        <f>'June 2027'!I5</f>
        <v/>
      </c>
      <c r="N4" s="9">
        <f>'July 2027'!I5</f>
        <v/>
      </c>
      <c r="O4" s="5">
        <f>SUM(C4:N4)</f>
        <v/>
      </c>
      <c r="P4" s="11">
        <f>IFERROR(O4/$O$2,"")</f>
        <v/>
      </c>
      <c r="Q4" s="9">
        <f>IF(P4="","",IF(P4&gt;=0.75,"Excellent",IF(P4&gt;=0.5,"Good","Needs Attention")))</f>
        <v/>
      </c>
    </row>
    <row r="5">
      <c r="A5" s="9" t="inlineStr">
        <is>
          <t>1st</t>
        </is>
      </c>
      <c r="B5" s="10" t="inlineStr">
        <is>
          <t>Gia Ane Tom</t>
        </is>
      </c>
      <c r="C5" s="9">
        <f>'August 2026'!I6</f>
        <v/>
      </c>
      <c r="D5" s="9">
        <f>'September 2026'!I6</f>
        <v/>
      </c>
      <c r="E5" s="9">
        <f>'October 2026'!I6</f>
        <v/>
      </c>
      <c r="F5" s="9">
        <f>'November 2026'!I6</f>
        <v/>
      </c>
      <c r="G5" s="9">
        <f>'December 2026'!I6</f>
        <v/>
      </c>
      <c r="H5" s="9">
        <f>'January 2027'!I6</f>
        <v/>
      </c>
      <c r="I5" s="9">
        <f>'February 2027'!I6</f>
        <v/>
      </c>
      <c r="J5" s="9">
        <f>'March 2027'!I6</f>
        <v/>
      </c>
      <c r="K5" s="9">
        <f>'April 2027'!I6</f>
        <v/>
      </c>
      <c r="L5" s="9">
        <f>'May 2027'!I6</f>
        <v/>
      </c>
      <c r="M5" s="9">
        <f>'June 2027'!I6</f>
        <v/>
      </c>
      <c r="N5" s="9">
        <f>'July 2027'!I6</f>
        <v/>
      </c>
      <c r="O5" s="5">
        <f>SUM(C5:N5)</f>
        <v/>
      </c>
      <c r="P5" s="11">
        <f>IFERROR(O5/$O$2,"")</f>
        <v/>
      </c>
      <c r="Q5" s="9">
        <f>IF(P5="","",IF(P5&gt;=0.75,"Excellent",IF(P5&gt;=0.5,"Good","Needs Attention")))</f>
        <v/>
      </c>
    </row>
    <row r="6">
      <c r="A6" s="9" t="inlineStr">
        <is>
          <t>2nd</t>
        </is>
      </c>
      <c r="B6" s="10" t="inlineStr">
        <is>
          <t>Evan Starly</t>
        </is>
      </c>
      <c r="C6" s="9">
        <f>'August 2026'!I7</f>
        <v/>
      </c>
      <c r="D6" s="9">
        <f>'September 2026'!I7</f>
        <v/>
      </c>
      <c r="E6" s="9">
        <f>'October 2026'!I7</f>
        <v/>
      </c>
      <c r="F6" s="9">
        <f>'November 2026'!I7</f>
        <v/>
      </c>
      <c r="G6" s="9">
        <f>'December 2026'!I7</f>
        <v/>
      </c>
      <c r="H6" s="9">
        <f>'January 2027'!I7</f>
        <v/>
      </c>
      <c r="I6" s="9">
        <f>'February 2027'!I7</f>
        <v/>
      </c>
      <c r="J6" s="9">
        <f>'March 2027'!I7</f>
        <v/>
      </c>
      <c r="K6" s="9">
        <f>'April 2027'!I7</f>
        <v/>
      </c>
      <c r="L6" s="9">
        <f>'May 2027'!I7</f>
        <v/>
      </c>
      <c r="M6" s="9">
        <f>'June 2027'!I7</f>
        <v/>
      </c>
      <c r="N6" s="9">
        <f>'July 2027'!I7</f>
        <v/>
      </c>
      <c r="O6" s="5">
        <f>SUM(C6:N6)</f>
        <v/>
      </c>
      <c r="P6" s="11">
        <f>IFERROR(O6/$O$2,"")</f>
        <v/>
      </c>
      <c r="Q6" s="9">
        <f>IF(P6="","",IF(P6&gt;=0.75,"Excellent",IF(P6&gt;=0.5,"Good","Needs Attention")))</f>
        <v/>
      </c>
    </row>
    <row r="7">
      <c r="A7" s="9" t="inlineStr">
        <is>
          <t>2nd</t>
        </is>
      </c>
      <c r="B7" s="10" t="inlineStr">
        <is>
          <t>Evana Mathew</t>
        </is>
      </c>
      <c r="C7" s="9">
        <f>'August 2026'!I8</f>
        <v/>
      </c>
      <c r="D7" s="9">
        <f>'September 2026'!I8</f>
        <v/>
      </c>
      <c r="E7" s="9">
        <f>'October 2026'!I8</f>
        <v/>
      </c>
      <c r="F7" s="9">
        <f>'November 2026'!I8</f>
        <v/>
      </c>
      <c r="G7" s="9">
        <f>'December 2026'!I8</f>
        <v/>
      </c>
      <c r="H7" s="9">
        <f>'January 2027'!I8</f>
        <v/>
      </c>
      <c r="I7" s="9">
        <f>'February 2027'!I8</f>
        <v/>
      </c>
      <c r="J7" s="9">
        <f>'March 2027'!I8</f>
        <v/>
      </c>
      <c r="K7" s="9">
        <f>'April 2027'!I8</f>
        <v/>
      </c>
      <c r="L7" s="9">
        <f>'May 2027'!I8</f>
        <v/>
      </c>
      <c r="M7" s="9">
        <f>'June 2027'!I8</f>
        <v/>
      </c>
      <c r="N7" s="9">
        <f>'July 2027'!I8</f>
        <v/>
      </c>
      <c r="O7" s="5">
        <f>SUM(C7:N7)</f>
        <v/>
      </c>
      <c r="P7" s="11">
        <f>IFERROR(O7/$O$2,"")</f>
        <v/>
      </c>
      <c r="Q7" s="9">
        <f>IF(P7="","",IF(P7&gt;=0.75,"Excellent",IF(P7&gt;=0.5,"Good","Needs Attention")))</f>
        <v/>
      </c>
    </row>
    <row r="8">
      <c r="A8" s="9" t="inlineStr">
        <is>
          <t>4th</t>
        </is>
      </c>
      <c r="B8" s="10" t="inlineStr">
        <is>
          <t>Eileen Mary Joe</t>
        </is>
      </c>
      <c r="C8" s="9">
        <f>'August 2026'!I9</f>
        <v/>
      </c>
      <c r="D8" s="9">
        <f>'September 2026'!I9</f>
        <v/>
      </c>
      <c r="E8" s="9">
        <f>'October 2026'!I9</f>
        <v/>
      </c>
      <c r="F8" s="9">
        <f>'November 2026'!I9</f>
        <v/>
      </c>
      <c r="G8" s="9">
        <f>'December 2026'!I9</f>
        <v/>
      </c>
      <c r="H8" s="9">
        <f>'January 2027'!I9</f>
        <v/>
      </c>
      <c r="I8" s="9">
        <f>'February 2027'!I9</f>
        <v/>
      </c>
      <c r="J8" s="9">
        <f>'March 2027'!I9</f>
        <v/>
      </c>
      <c r="K8" s="9">
        <f>'April 2027'!I9</f>
        <v/>
      </c>
      <c r="L8" s="9">
        <f>'May 2027'!I9</f>
        <v/>
      </c>
      <c r="M8" s="9">
        <f>'June 2027'!I9</f>
        <v/>
      </c>
      <c r="N8" s="9">
        <f>'July 2027'!I9</f>
        <v/>
      </c>
      <c r="O8" s="5">
        <f>SUM(C8:N8)</f>
        <v/>
      </c>
      <c r="P8" s="11">
        <f>IFERROR(O8/$O$2,"")</f>
        <v/>
      </c>
      <c r="Q8" s="9">
        <f>IF(P8="","",IF(P8&gt;=0.75,"Excellent",IF(P8&gt;=0.5,"Good","Needs Attention")))</f>
        <v/>
      </c>
    </row>
    <row r="9">
      <c r="A9" s="9" t="inlineStr">
        <is>
          <t>4th</t>
        </is>
      </c>
      <c r="B9" s="10" t="inlineStr">
        <is>
          <t>Riyana Rince</t>
        </is>
      </c>
      <c r="C9" s="9">
        <f>'August 2026'!I10</f>
        <v/>
      </c>
      <c r="D9" s="9">
        <f>'September 2026'!I10</f>
        <v/>
      </c>
      <c r="E9" s="9">
        <f>'October 2026'!I10</f>
        <v/>
      </c>
      <c r="F9" s="9">
        <f>'November 2026'!I10</f>
        <v/>
      </c>
      <c r="G9" s="9">
        <f>'December 2026'!I10</f>
        <v/>
      </c>
      <c r="H9" s="9">
        <f>'January 2027'!I10</f>
        <v/>
      </c>
      <c r="I9" s="9">
        <f>'February 2027'!I10</f>
        <v/>
      </c>
      <c r="J9" s="9">
        <f>'March 2027'!I10</f>
        <v/>
      </c>
      <c r="K9" s="9">
        <f>'April 2027'!I10</f>
        <v/>
      </c>
      <c r="L9" s="9">
        <f>'May 2027'!I10</f>
        <v/>
      </c>
      <c r="M9" s="9">
        <f>'June 2027'!I10</f>
        <v/>
      </c>
      <c r="N9" s="9">
        <f>'July 2027'!I10</f>
        <v/>
      </c>
      <c r="O9" s="5">
        <f>SUM(C9:N9)</f>
        <v/>
      </c>
      <c r="P9" s="11">
        <f>IFERROR(O9/$O$2,"")</f>
        <v/>
      </c>
      <c r="Q9" s="9">
        <f>IF(P9="","",IF(P9&gt;=0.75,"Excellent",IF(P9&gt;=0.5,"Good","Needs Attention")))</f>
        <v/>
      </c>
    </row>
    <row r="10">
      <c r="A10" s="9" t="inlineStr">
        <is>
          <t>5th</t>
        </is>
      </c>
      <c r="B10" s="10" t="inlineStr">
        <is>
          <t>Aaron Renju George</t>
        </is>
      </c>
      <c r="C10" s="9">
        <f>'August 2026'!I11</f>
        <v/>
      </c>
      <c r="D10" s="9">
        <f>'September 2026'!I11</f>
        <v/>
      </c>
      <c r="E10" s="9">
        <f>'October 2026'!I11</f>
        <v/>
      </c>
      <c r="F10" s="9">
        <f>'November 2026'!I11</f>
        <v/>
      </c>
      <c r="G10" s="9">
        <f>'December 2026'!I11</f>
        <v/>
      </c>
      <c r="H10" s="9">
        <f>'January 2027'!I11</f>
        <v/>
      </c>
      <c r="I10" s="9">
        <f>'February 2027'!I11</f>
        <v/>
      </c>
      <c r="J10" s="9">
        <f>'March 2027'!I11</f>
        <v/>
      </c>
      <c r="K10" s="9">
        <f>'April 2027'!I11</f>
        <v/>
      </c>
      <c r="L10" s="9">
        <f>'May 2027'!I11</f>
        <v/>
      </c>
      <c r="M10" s="9">
        <f>'June 2027'!I11</f>
        <v/>
      </c>
      <c r="N10" s="9">
        <f>'July 2027'!I11</f>
        <v/>
      </c>
      <c r="O10" s="5">
        <f>SUM(C10:N10)</f>
        <v/>
      </c>
      <c r="P10" s="11">
        <f>IFERROR(O10/$O$2,"")</f>
        <v/>
      </c>
      <c r="Q10" s="9">
        <f>IF(P10="","",IF(P10&gt;=0.75,"Excellent",IF(P10&gt;=0.5,"Good","Needs Attention")))</f>
        <v/>
      </c>
    </row>
    <row r="11">
      <c r="A11" s="9" t="inlineStr">
        <is>
          <t>5th</t>
        </is>
      </c>
      <c r="B11" s="10" t="inlineStr">
        <is>
          <t>Ezekiel Abraham</t>
        </is>
      </c>
      <c r="C11" s="9">
        <f>'August 2026'!I12</f>
        <v/>
      </c>
      <c r="D11" s="9">
        <f>'September 2026'!I12</f>
        <v/>
      </c>
      <c r="E11" s="9">
        <f>'October 2026'!I12</f>
        <v/>
      </c>
      <c r="F11" s="9">
        <f>'November 2026'!I12</f>
        <v/>
      </c>
      <c r="G11" s="9">
        <f>'December 2026'!I12</f>
        <v/>
      </c>
      <c r="H11" s="9">
        <f>'January 2027'!I12</f>
        <v/>
      </c>
      <c r="I11" s="9">
        <f>'February 2027'!I12</f>
        <v/>
      </c>
      <c r="J11" s="9">
        <f>'March 2027'!I12</f>
        <v/>
      </c>
      <c r="K11" s="9">
        <f>'April 2027'!I12</f>
        <v/>
      </c>
      <c r="L11" s="9">
        <f>'May 2027'!I12</f>
        <v/>
      </c>
      <c r="M11" s="9">
        <f>'June 2027'!I12</f>
        <v/>
      </c>
      <c r="N11" s="9">
        <f>'July 2027'!I12</f>
        <v/>
      </c>
      <c r="O11" s="5">
        <f>SUM(C11:N11)</f>
        <v/>
      </c>
      <c r="P11" s="11">
        <f>IFERROR(O11/$O$2,"")</f>
        <v/>
      </c>
      <c r="Q11" s="9">
        <f>IF(P11="","",IF(P11&gt;=0.75,"Excellent",IF(P11&gt;=0.5,"Good","Needs Attention")))</f>
        <v/>
      </c>
    </row>
    <row r="12">
      <c r="A12" s="9" t="inlineStr">
        <is>
          <t>6th</t>
        </is>
      </c>
      <c r="B12" s="10" t="inlineStr">
        <is>
          <t>Andrea George</t>
        </is>
      </c>
      <c r="C12" s="9">
        <f>'August 2026'!I13</f>
        <v/>
      </c>
      <c r="D12" s="9">
        <f>'September 2026'!I13</f>
        <v/>
      </c>
      <c r="E12" s="9">
        <f>'October 2026'!I13</f>
        <v/>
      </c>
      <c r="F12" s="9">
        <f>'November 2026'!I13</f>
        <v/>
      </c>
      <c r="G12" s="9">
        <f>'December 2026'!I13</f>
        <v/>
      </c>
      <c r="H12" s="9">
        <f>'January 2027'!I13</f>
        <v/>
      </c>
      <c r="I12" s="9">
        <f>'February 2027'!I13</f>
        <v/>
      </c>
      <c r="J12" s="9">
        <f>'March 2027'!I13</f>
        <v/>
      </c>
      <c r="K12" s="9">
        <f>'April 2027'!I13</f>
        <v/>
      </c>
      <c r="L12" s="9">
        <f>'May 2027'!I13</f>
        <v/>
      </c>
      <c r="M12" s="9">
        <f>'June 2027'!I13</f>
        <v/>
      </c>
      <c r="N12" s="9">
        <f>'July 2027'!I13</f>
        <v/>
      </c>
      <c r="O12" s="5">
        <f>SUM(C12:N12)</f>
        <v/>
      </c>
      <c r="P12" s="11">
        <f>IFERROR(O12/$O$2,"")</f>
        <v/>
      </c>
      <c r="Q12" s="9">
        <f>IF(P12="","",IF(P12&gt;=0.75,"Excellent",IF(P12&gt;=0.5,"Good","Needs Attention")))</f>
        <v/>
      </c>
    </row>
    <row r="13">
      <c r="A13" s="9" t="inlineStr">
        <is>
          <t>6th</t>
        </is>
      </c>
      <c r="B13" s="10" t="inlineStr">
        <is>
          <t>Sarah Mathew</t>
        </is>
      </c>
      <c r="C13" s="9">
        <f>'August 2026'!I14</f>
        <v/>
      </c>
      <c r="D13" s="9">
        <f>'September 2026'!I14</f>
        <v/>
      </c>
      <c r="E13" s="9">
        <f>'October 2026'!I14</f>
        <v/>
      </c>
      <c r="F13" s="9">
        <f>'November 2026'!I14</f>
        <v/>
      </c>
      <c r="G13" s="9">
        <f>'December 2026'!I14</f>
        <v/>
      </c>
      <c r="H13" s="9">
        <f>'January 2027'!I14</f>
        <v/>
      </c>
      <c r="I13" s="9">
        <f>'February 2027'!I14</f>
        <v/>
      </c>
      <c r="J13" s="9">
        <f>'March 2027'!I14</f>
        <v/>
      </c>
      <c r="K13" s="9">
        <f>'April 2027'!I14</f>
        <v/>
      </c>
      <c r="L13" s="9">
        <f>'May 2027'!I14</f>
        <v/>
      </c>
      <c r="M13" s="9">
        <f>'June 2027'!I14</f>
        <v/>
      </c>
      <c r="N13" s="9">
        <f>'July 2027'!I14</f>
        <v/>
      </c>
      <c r="O13" s="5">
        <f>SUM(C13:N13)</f>
        <v/>
      </c>
      <c r="P13" s="11">
        <f>IFERROR(O13/$O$2,"")</f>
        <v/>
      </c>
      <c r="Q13" s="9">
        <f>IF(P13="","",IF(P13&gt;=0.75,"Excellent",IF(P13&gt;=0.5,"Good","Needs Attention")))</f>
        <v/>
      </c>
    </row>
    <row r="14">
      <c r="A14" s="9" t="inlineStr">
        <is>
          <t>7th</t>
        </is>
      </c>
      <c r="B14" s="10" t="inlineStr">
        <is>
          <t>Benjamin Shino</t>
        </is>
      </c>
      <c r="C14" s="9">
        <f>'August 2026'!I15</f>
        <v/>
      </c>
      <c r="D14" s="9">
        <f>'September 2026'!I15</f>
        <v/>
      </c>
      <c r="E14" s="9">
        <f>'October 2026'!I15</f>
        <v/>
      </c>
      <c r="F14" s="9">
        <f>'November 2026'!I15</f>
        <v/>
      </c>
      <c r="G14" s="9">
        <f>'December 2026'!I15</f>
        <v/>
      </c>
      <c r="H14" s="9">
        <f>'January 2027'!I15</f>
        <v/>
      </c>
      <c r="I14" s="9">
        <f>'February 2027'!I15</f>
        <v/>
      </c>
      <c r="J14" s="9">
        <f>'March 2027'!I15</f>
        <v/>
      </c>
      <c r="K14" s="9">
        <f>'April 2027'!I15</f>
        <v/>
      </c>
      <c r="L14" s="9">
        <f>'May 2027'!I15</f>
        <v/>
      </c>
      <c r="M14" s="9">
        <f>'June 2027'!I15</f>
        <v/>
      </c>
      <c r="N14" s="9">
        <f>'July 2027'!I15</f>
        <v/>
      </c>
      <c r="O14" s="5">
        <f>SUM(C14:N14)</f>
        <v/>
      </c>
      <c r="P14" s="11">
        <f>IFERROR(O14/$O$2,"")</f>
        <v/>
      </c>
      <c r="Q14" s="9">
        <f>IF(P14="","",IF(P14&gt;=0.75,"Excellent",IF(P14&gt;=0.5,"Good","Needs Attention")))</f>
        <v/>
      </c>
    </row>
    <row r="15">
      <c r="A15" s="9" t="inlineStr">
        <is>
          <t>7th</t>
        </is>
      </c>
      <c r="B15" s="10" t="inlineStr">
        <is>
          <t>Ethaniel Abraham</t>
        </is>
      </c>
      <c r="C15" s="9">
        <f>'August 2026'!I16</f>
        <v/>
      </c>
      <c r="D15" s="9">
        <f>'September 2026'!I16</f>
        <v/>
      </c>
      <c r="E15" s="9">
        <f>'October 2026'!I16</f>
        <v/>
      </c>
      <c r="F15" s="9">
        <f>'November 2026'!I16</f>
        <v/>
      </c>
      <c r="G15" s="9">
        <f>'December 2026'!I16</f>
        <v/>
      </c>
      <c r="H15" s="9">
        <f>'January 2027'!I16</f>
        <v/>
      </c>
      <c r="I15" s="9">
        <f>'February 2027'!I16</f>
        <v/>
      </c>
      <c r="J15" s="9">
        <f>'March 2027'!I16</f>
        <v/>
      </c>
      <c r="K15" s="9">
        <f>'April 2027'!I16</f>
        <v/>
      </c>
      <c r="L15" s="9">
        <f>'May 2027'!I16</f>
        <v/>
      </c>
      <c r="M15" s="9">
        <f>'June 2027'!I16</f>
        <v/>
      </c>
      <c r="N15" s="9">
        <f>'July 2027'!I16</f>
        <v/>
      </c>
      <c r="O15" s="5">
        <f>SUM(C15:N15)</f>
        <v/>
      </c>
      <c r="P15" s="11">
        <f>IFERROR(O15/$O$2,"")</f>
        <v/>
      </c>
      <c r="Q15" s="9">
        <f>IF(P15="","",IF(P15&gt;=0.75,"Excellent",IF(P15&gt;=0.5,"Good","Needs Attention")))</f>
        <v/>
      </c>
    </row>
    <row r="16">
      <c r="A16" s="9" t="inlineStr">
        <is>
          <t>7th</t>
        </is>
      </c>
      <c r="B16" s="10" t="inlineStr">
        <is>
          <t>Joannah Vijay</t>
        </is>
      </c>
      <c r="C16" s="9">
        <f>'August 2026'!I17</f>
        <v/>
      </c>
      <c r="D16" s="9">
        <f>'September 2026'!I17</f>
        <v/>
      </c>
      <c r="E16" s="9">
        <f>'October 2026'!I17</f>
        <v/>
      </c>
      <c r="F16" s="9">
        <f>'November 2026'!I17</f>
        <v/>
      </c>
      <c r="G16" s="9">
        <f>'December 2026'!I17</f>
        <v/>
      </c>
      <c r="H16" s="9">
        <f>'January 2027'!I17</f>
        <v/>
      </c>
      <c r="I16" s="9">
        <f>'February 2027'!I17</f>
        <v/>
      </c>
      <c r="J16" s="9">
        <f>'March 2027'!I17</f>
        <v/>
      </c>
      <c r="K16" s="9">
        <f>'April 2027'!I17</f>
        <v/>
      </c>
      <c r="L16" s="9">
        <f>'May 2027'!I17</f>
        <v/>
      </c>
      <c r="M16" s="9">
        <f>'June 2027'!I17</f>
        <v/>
      </c>
      <c r="N16" s="9">
        <f>'July 2027'!I17</f>
        <v/>
      </c>
      <c r="O16" s="5">
        <f>SUM(C16:N16)</f>
        <v/>
      </c>
      <c r="P16" s="11">
        <f>IFERROR(O16/$O$2,"")</f>
        <v/>
      </c>
      <c r="Q16" s="9">
        <f>IF(P16="","",IF(P16&gt;=0.75,"Excellent",IF(P16&gt;=0.5,"Good","Needs Attention")))</f>
        <v/>
      </c>
    </row>
    <row r="17">
      <c r="A17" s="9" t="inlineStr">
        <is>
          <t>8th</t>
        </is>
      </c>
      <c r="B17" s="10" t="inlineStr">
        <is>
          <t>Daniel Jacob</t>
        </is>
      </c>
      <c r="C17" s="9">
        <f>'August 2026'!I18</f>
        <v/>
      </c>
      <c r="D17" s="9">
        <f>'September 2026'!I18</f>
        <v/>
      </c>
      <c r="E17" s="9">
        <f>'October 2026'!I18</f>
        <v/>
      </c>
      <c r="F17" s="9">
        <f>'November 2026'!I18</f>
        <v/>
      </c>
      <c r="G17" s="9">
        <f>'December 2026'!I18</f>
        <v/>
      </c>
      <c r="H17" s="9">
        <f>'January 2027'!I18</f>
        <v/>
      </c>
      <c r="I17" s="9">
        <f>'February 2027'!I18</f>
        <v/>
      </c>
      <c r="J17" s="9">
        <f>'March 2027'!I18</f>
        <v/>
      </c>
      <c r="K17" s="9">
        <f>'April 2027'!I18</f>
        <v/>
      </c>
      <c r="L17" s="9">
        <f>'May 2027'!I18</f>
        <v/>
      </c>
      <c r="M17" s="9">
        <f>'June 2027'!I18</f>
        <v/>
      </c>
      <c r="N17" s="9">
        <f>'July 2027'!I18</f>
        <v/>
      </c>
      <c r="O17" s="5">
        <f>SUM(C17:N17)</f>
        <v/>
      </c>
      <c r="P17" s="11">
        <f>IFERROR(O17/$O$2,"")</f>
        <v/>
      </c>
      <c r="Q17" s="9">
        <f>IF(P17="","",IF(P17&gt;=0.75,"Excellent",IF(P17&gt;=0.5,"Good","Needs Attention")))</f>
        <v/>
      </c>
    </row>
    <row r="18">
      <c r="A18" s="9" t="inlineStr">
        <is>
          <t>8th</t>
        </is>
      </c>
      <c r="B18" s="10" t="inlineStr">
        <is>
          <t>Ethan Starley</t>
        </is>
      </c>
      <c r="C18" s="9">
        <f>'August 2026'!I19</f>
        <v/>
      </c>
      <c r="D18" s="9">
        <f>'September 2026'!I19</f>
        <v/>
      </c>
      <c r="E18" s="9">
        <f>'October 2026'!I19</f>
        <v/>
      </c>
      <c r="F18" s="9">
        <f>'November 2026'!I19</f>
        <v/>
      </c>
      <c r="G18" s="9">
        <f>'December 2026'!I19</f>
        <v/>
      </c>
      <c r="H18" s="9">
        <f>'January 2027'!I19</f>
        <v/>
      </c>
      <c r="I18" s="9">
        <f>'February 2027'!I19</f>
        <v/>
      </c>
      <c r="J18" s="9">
        <f>'March 2027'!I19</f>
        <v/>
      </c>
      <c r="K18" s="9">
        <f>'April 2027'!I19</f>
        <v/>
      </c>
      <c r="L18" s="9">
        <f>'May 2027'!I19</f>
        <v/>
      </c>
      <c r="M18" s="9">
        <f>'June 2027'!I19</f>
        <v/>
      </c>
      <c r="N18" s="9">
        <f>'July 2027'!I19</f>
        <v/>
      </c>
      <c r="O18" s="5">
        <f>SUM(C18:N18)</f>
        <v/>
      </c>
      <c r="P18" s="11">
        <f>IFERROR(O18/$O$2,"")</f>
        <v/>
      </c>
      <c r="Q18" s="9">
        <f>IF(P18="","",IF(P18&gt;=0.75,"Excellent",IF(P18&gt;=0.5,"Good","Needs Attention")))</f>
        <v/>
      </c>
    </row>
    <row r="19">
      <c r="A19" s="9" t="inlineStr">
        <is>
          <t>9th</t>
        </is>
      </c>
      <c r="B19" s="10" t="inlineStr">
        <is>
          <t>Eliath Abraham</t>
        </is>
      </c>
      <c r="C19" s="9">
        <f>'August 2026'!I20</f>
        <v/>
      </c>
      <c r="D19" s="9">
        <f>'September 2026'!I20</f>
        <v/>
      </c>
      <c r="E19" s="9">
        <f>'October 2026'!I20</f>
        <v/>
      </c>
      <c r="F19" s="9">
        <f>'November 2026'!I20</f>
        <v/>
      </c>
      <c r="G19" s="9">
        <f>'December 2026'!I20</f>
        <v/>
      </c>
      <c r="H19" s="9">
        <f>'January 2027'!I20</f>
        <v/>
      </c>
      <c r="I19" s="9">
        <f>'February 2027'!I20</f>
        <v/>
      </c>
      <c r="J19" s="9">
        <f>'March 2027'!I20</f>
        <v/>
      </c>
      <c r="K19" s="9">
        <f>'April 2027'!I20</f>
        <v/>
      </c>
      <c r="L19" s="9">
        <f>'May 2027'!I20</f>
        <v/>
      </c>
      <c r="M19" s="9">
        <f>'June 2027'!I20</f>
        <v/>
      </c>
      <c r="N19" s="9">
        <f>'July 2027'!I20</f>
        <v/>
      </c>
      <c r="O19" s="5">
        <f>SUM(C19:N19)</f>
        <v/>
      </c>
      <c r="P19" s="11">
        <f>IFERROR(O19/$O$2,"")</f>
        <v/>
      </c>
      <c r="Q19" s="9">
        <f>IF(P19="","",IF(P19&gt;=0.75,"Excellent",IF(P19&gt;=0.5,"Good","Needs Attention")))</f>
        <v/>
      </c>
    </row>
    <row r="20">
      <c r="A20" s="9" t="inlineStr">
        <is>
          <t>9th</t>
        </is>
      </c>
      <c r="B20" s="10" t="inlineStr">
        <is>
          <t>Hannah Philip</t>
        </is>
      </c>
      <c r="C20" s="9">
        <f>'August 2026'!I21</f>
        <v/>
      </c>
      <c r="D20" s="9">
        <f>'September 2026'!I21</f>
        <v/>
      </c>
      <c r="E20" s="9">
        <f>'October 2026'!I21</f>
        <v/>
      </c>
      <c r="F20" s="9">
        <f>'November 2026'!I21</f>
        <v/>
      </c>
      <c r="G20" s="9">
        <f>'December 2026'!I21</f>
        <v/>
      </c>
      <c r="H20" s="9">
        <f>'January 2027'!I21</f>
        <v/>
      </c>
      <c r="I20" s="9">
        <f>'February 2027'!I21</f>
        <v/>
      </c>
      <c r="J20" s="9">
        <f>'March 2027'!I21</f>
        <v/>
      </c>
      <c r="K20" s="9">
        <f>'April 2027'!I21</f>
        <v/>
      </c>
      <c r="L20" s="9">
        <f>'May 2027'!I21</f>
        <v/>
      </c>
      <c r="M20" s="9">
        <f>'June 2027'!I21</f>
        <v/>
      </c>
      <c r="N20" s="9">
        <f>'July 2027'!I21</f>
        <v/>
      </c>
      <c r="O20" s="5">
        <f>SUM(C20:N20)</f>
        <v/>
      </c>
      <c r="P20" s="11">
        <f>IFERROR(O20/$O$2,"")</f>
        <v/>
      </c>
      <c r="Q20" s="9">
        <f>IF(P20="","",IF(P20&gt;=0.75,"Excellent",IF(P20&gt;=0.5,"Good","Needs Attention")))</f>
        <v/>
      </c>
    </row>
    <row r="21">
      <c r="A21" s="9" t="inlineStr">
        <is>
          <t>9th</t>
        </is>
      </c>
      <c r="B21" s="10" t="inlineStr">
        <is>
          <t>Hannah Rince</t>
        </is>
      </c>
      <c r="C21" s="9">
        <f>'August 2026'!I22</f>
        <v/>
      </c>
      <c r="D21" s="9">
        <f>'September 2026'!I22</f>
        <v/>
      </c>
      <c r="E21" s="9">
        <f>'October 2026'!I22</f>
        <v/>
      </c>
      <c r="F21" s="9">
        <f>'November 2026'!I22</f>
        <v/>
      </c>
      <c r="G21" s="9">
        <f>'December 2026'!I22</f>
        <v/>
      </c>
      <c r="H21" s="9">
        <f>'January 2027'!I22</f>
        <v/>
      </c>
      <c r="I21" s="9">
        <f>'February 2027'!I22</f>
        <v/>
      </c>
      <c r="J21" s="9">
        <f>'March 2027'!I22</f>
        <v/>
      </c>
      <c r="K21" s="9">
        <f>'April 2027'!I22</f>
        <v/>
      </c>
      <c r="L21" s="9">
        <f>'May 2027'!I22</f>
        <v/>
      </c>
      <c r="M21" s="9">
        <f>'June 2027'!I22</f>
        <v/>
      </c>
      <c r="N21" s="9">
        <f>'July 2027'!I22</f>
        <v/>
      </c>
      <c r="O21" s="5">
        <f>SUM(C21:N21)</f>
        <v/>
      </c>
      <c r="P21" s="11">
        <f>IFERROR(O21/$O$2,"")</f>
        <v/>
      </c>
      <c r="Q21" s="9">
        <f>IF(P21="","",IF(P21&gt;=0.75,"Excellent",IF(P21&gt;=0.5,"Good","Needs Attention")))</f>
        <v/>
      </c>
    </row>
    <row r="22">
      <c r="A22" s="9" t="inlineStr">
        <is>
          <t>10th</t>
        </is>
      </c>
      <c r="B22" s="10" t="inlineStr">
        <is>
          <t>Angel Abraham</t>
        </is>
      </c>
      <c r="C22" s="9">
        <f>'August 2026'!I23</f>
        <v/>
      </c>
      <c r="D22" s="9">
        <f>'September 2026'!I23</f>
        <v/>
      </c>
      <c r="E22" s="9">
        <f>'October 2026'!I23</f>
        <v/>
      </c>
      <c r="F22" s="9">
        <f>'November 2026'!I23</f>
        <v/>
      </c>
      <c r="G22" s="9">
        <f>'December 2026'!I23</f>
        <v/>
      </c>
      <c r="H22" s="9">
        <f>'January 2027'!I23</f>
        <v/>
      </c>
      <c r="I22" s="9">
        <f>'February 2027'!I23</f>
        <v/>
      </c>
      <c r="J22" s="9">
        <f>'March 2027'!I23</f>
        <v/>
      </c>
      <c r="K22" s="9">
        <f>'April 2027'!I23</f>
        <v/>
      </c>
      <c r="L22" s="9">
        <f>'May 2027'!I23</f>
        <v/>
      </c>
      <c r="M22" s="9">
        <f>'June 2027'!I23</f>
        <v/>
      </c>
      <c r="N22" s="9">
        <f>'July 2027'!I23</f>
        <v/>
      </c>
      <c r="O22" s="5">
        <f>SUM(C22:N22)</f>
        <v/>
      </c>
      <c r="P22" s="11">
        <f>IFERROR(O22/$O$2,"")</f>
        <v/>
      </c>
      <c r="Q22" s="9">
        <f>IF(P22="","",IF(P22&gt;=0.75,"Excellent",IF(P22&gt;=0.5,"Good","Needs Attention")))</f>
        <v/>
      </c>
    </row>
    <row r="23">
      <c r="A23" s="9" t="inlineStr">
        <is>
          <t>10th</t>
        </is>
      </c>
      <c r="B23" s="10" t="inlineStr">
        <is>
          <t>Eleora Joe</t>
        </is>
      </c>
      <c r="C23" s="9">
        <f>'August 2026'!I24</f>
        <v/>
      </c>
      <c r="D23" s="9">
        <f>'September 2026'!I24</f>
        <v/>
      </c>
      <c r="E23" s="9">
        <f>'October 2026'!I24</f>
        <v/>
      </c>
      <c r="F23" s="9">
        <f>'November 2026'!I24</f>
        <v/>
      </c>
      <c r="G23" s="9">
        <f>'December 2026'!I24</f>
        <v/>
      </c>
      <c r="H23" s="9">
        <f>'January 2027'!I24</f>
        <v/>
      </c>
      <c r="I23" s="9">
        <f>'February 2027'!I24</f>
        <v/>
      </c>
      <c r="J23" s="9">
        <f>'March 2027'!I24</f>
        <v/>
      </c>
      <c r="K23" s="9">
        <f>'April 2027'!I24</f>
        <v/>
      </c>
      <c r="L23" s="9">
        <f>'May 2027'!I24</f>
        <v/>
      </c>
      <c r="M23" s="9">
        <f>'June 2027'!I24</f>
        <v/>
      </c>
      <c r="N23" s="9">
        <f>'July 2027'!I24</f>
        <v/>
      </c>
      <c r="O23" s="5">
        <f>SUM(C23:N23)</f>
        <v/>
      </c>
      <c r="P23" s="11">
        <f>IFERROR(O23/$O$2,"")</f>
        <v/>
      </c>
      <c r="Q23" s="9">
        <f>IF(P23="","",IF(P23&gt;=0.75,"Excellent",IF(P23&gt;=0.5,"Good","Needs Attention")))</f>
        <v/>
      </c>
    </row>
    <row r="24">
      <c r="A24" s="9" t="inlineStr">
        <is>
          <t>11th</t>
        </is>
      </c>
      <c r="B24" s="10" t="inlineStr">
        <is>
          <t>Hannah Varghese</t>
        </is>
      </c>
      <c r="C24" s="9">
        <f>'August 2026'!I25</f>
        <v/>
      </c>
      <c r="D24" s="9">
        <f>'September 2026'!I25</f>
        <v/>
      </c>
      <c r="E24" s="9">
        <f>'October 2026'!I25</f>
        <v/>
      </c>
      <c r="F24" s="9">
        <f>'November 2026'!I25</f>
        <v/>
      </c>
      <c r="G24" s="9">
        <f>'December 2026'!I25</f>
        <v/>
      </c>
      <c r="H24" s="9">
        <f>'January 2027'!I25</f>
        <v/>
      </c>
      <c r="I24" s="9">
        <f>'February 2027'!I25</f>
        <v/>
      </c>
      <c r="J24" s="9">
        <f>'March 2027'!I25</f>
        <v/>
      </c>
      <c r="K24" s="9">
        <f>'April 2027'!I25</f>
        <v/>
      </c>
      <c r="L24" s="9">
        <f>'May 2027'!I25</f>
        <v/>
      </c>
      <c r="M24" s="9">
        <f>'June 2027'!I25</f>
        <v/>
      </c>
      <c r="N24" s="9">
        <f>'July 2027'!I25</f>
        <v/>
      </c>
      <c r="O24" s="5">
        <f>SUM(C24:N24)</f>
        <v/>
      </c>
      <c r="P24" s="11">
        <f>IFERROR(O24/$O$2,"")</f>
        <v/>
      </c>
      <c r="Q24" s="9">
        <f>IF(P24="","",IF(P24&gt;=0.75,"Excellent",IF(P24&gt;=0.5,"Good","Needs Attention")))</f>
        <v/>
      </c>
    </row>
    <row r="25">
      <c r="A25" s="9" t="inlineStr">
        <is>
          <t>12th</t>
        </is>
      </c>
      <c r="B25" s="10" t="inlineStr">
        <is>
          <t>Abel Jacob</t>
        </is>
      </c>
      <c r="C25" s="9">
        <f>'August 2026'!I26</f>
        <v/>
      </c>
      <c r="D25" s="9">
        <f>'September 2026'!I26</f>
        <v/>
      </c>
      <c r="E25" s="9">
        <f>'October 2026'!I26</f>
        <v/>
      </c>
      <c r="F25" s="9">
        <f>'November 2026'!I26</f>
        <v/>
      </c>
      <c r="G25" s="9">
        <f>'December 2026'!I26</f>
        <v/>
      </c>
      <c r="H25" s="9">
        <f>'January 2027'!I26</f>
        <v/>
      </c>
      <c r="I25" s="9">
        <f>'February 2027'!I26</f>
        <v/>
      </c>
      <c r="J25" s="9">
        <f>'March 2027'!I26</f>
        <v/>
      </c>
      <c r="K25" s="9">
        <f>'April 2027'!I26</f>
        <v/>
      </c>
      <c r="L25" s="9">
        <f>'May 2027'!I26</f>
        <v/>
      </c>
      <c r="M25" s="9">
        <f>'June 2027'!I26</f>
        <v/>
      </c>
      <c r="N25" s="9">
        <f>'July 2027'!I26</f>
        <v/>
      </c>
      <c r="O25" s="5">
        <f>SUM(C25:N25)</f>
        <v/>
      </c>
      <c r="P25" s="11">
        <f>IFERROR(O25/$O$2,"")</f>
        <v/>
      </c>
      <c r="Q25" s="9">
        <f>IF(P25="","",IF(P25&gt;=0.75,"Excellent",IF(P25&gt;=0.5,"Good","Needs Attention")))</f>
        <v/>
      </c>
    </row>
    <row r="26">
      <c r="A26" s="9" t="inlineStr">
        <is>
          <t>12th</t>
        </is>
      </c>
      <c r="B26" s="10" t="inlineStr">
        <is>
          <t>Jason Vijay</t>
        </is>
      </c>
      <c r="C26" s="9">
        <f>'August 2026'!I27</f>
        <v/>
      </c>
      <c r="D26" s="9">
        <f>'September 2026'!I27</f>
        <v/>
      </c>
      <c r="E26" s="9">
        <f>'October 2026'!I27</f>
        <v/>
      </c>
      <c r="F26" s="9">
        <f>'November 2026'!I27</f>
        <v/>
      </c>
      <c r="G26" s="9">
        <f>'December 2026'!I27</f>
        <v/>
      </c>
      <c r="H26" s="9">
        <f>'January 2027'!I27</f>
        <v/>
      </c>
      <c r="I26" s="9">
        <f>'February 2027'!I27</f>
        <v/>
      </c>
      <c r="J26" s="9">
        <f>'March 2027'!I27</f>
        <v/>
      </c>
      <c r="K26" s="9">
        <f>'April 2027'!I27</f>
        <v/>
      </c>
      <c r="L26" s="9">
        <f>'May 2027'!I27</f>
        <v/>
      </c>
      <c r="M26" s="9">
        <f>'June 2027'!I27</f>
        <v/>
      </c>
      <c r="N26" s="9">
        <f>'July 2027'!I27</f>
        <v/>
      </c>
      <c r="O26" s="5">
        <f>SUM(C26:N26)</f>
        <v/>
      </c>
      <c r="P26" s="11">
        <f>IFERROR(O26/$O$2,"")</f>
        <v/>
      </c>
      <c r="Q26" s="9">
        <f>IF(P26="","",IF(P26&gt;=0.75,"Excellent",IF(P26&gt;=0.5,"Good","Needs Attention")))</f>
        <v/>
      </c>
    </row>
    <row r="27">
      <c r="B27" s="12" t="inlineStr">
        <is>
          <t>Class Total</t>
        </is>
      </c>
      <c r="C27" s="13">
        <f>SUM(C4:C26)</f>
        <v/>
      </c>
      <c r="D27" s="13">
        <f>SUM(D4:D26)</f>
        <v/>
      </c>
      <c r="E27" s="13">
        <f>SUM(E4:E26)</f>
        <v/>
      </c>
      <c r="F27" s="13">
        <f>SUM(F4:F26)</f>
        <v/>
      </c>
      <c r="G27" s="13">
        <f>SUM(G4:G26)</f>
        <v/>
      </c>
      <c r="H27" s="13">
        <f>SUM(H4:H26)</f>
        <v/>
      </c>
      <c r="I27" s="13">
        <f>SUM(I4:I26)</f>
        <v/>
      </c>
      <c r="J27" s="13">
        <f>SUM(J4:J26)</f>
        <v/>
      </c>
      <c r="K27" s="13">
        <f>SUM(K4:K26)</f>
        <v/>
      </c>
      <c r="L27" s="13">
        <f>SUM(L4:L26)</f>
        <v/>
      </c>
      <c r="M27" s="13">
        <f>SUM(M4:M26)</f>
        <v/>
      </c>
      <c r="N27" s="13">
        <f>SUM(N4:N26)</f>
        <v/>
      </c>
    </row>
  </sheetData>
  <mergeCells count="1">
    <mergeCell ref="A1:Q1"/>
  </mergeCells>
  <conditionalFormatting sqref="Q4:Q26">
    <cfRule type="cellIs" priority="1" operator="equal" dxfId="1">
      <formula>"Needs Attention"</formula>
    </cfRule>
    <cfRule type="cellIs" priority="2" operator="equal" dxfId="0">
      <formula>"Excellent"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August - 2026</t>
        </is>
      </c>
    </row>
    <row r="3">
      <c r="B3" s="3" t="inlineStr">
        <is>
          <t>Month:</t>
        </is>
      </c>
      <c r="C3" s="4" t="inlineStr">
        <is>
          <t>August 2026</t>
        </is>
      </c>
      <c r="K3" s="3" t="inlineStr">
        <is>
          <t>Sundays:</t>
        </is>
      </c>
      <c r="L3" s="5" t="n">
        <v>5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Aug 2</t>
        </is>
      </c>
      <c r="E4" s="7" t="inlineStr">
        <is>
          <t>Sun, Aug 9</t>
        </is>
      </c>
      <c r="F4" s="7" t="inlineStr">
        <is>
          <t>Sun, Aug 16</t>
        </is>
      </c>
      <c r="G4" s="7" t="inlineStr">
        <is>
          <t>Sun, Aug 23</t>
        </is>
      </c>
      <c r="H4" s="7" t="inlineStr">
        <is>
          <t>Sun, Aug 30</t>
        </is>
      </c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9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9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9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9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9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9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9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9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9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9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9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9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9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9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9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9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9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9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9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9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9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9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9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1">
    <dataValidation sqref="D5:H27" showDropDown="0" showInputMessage="0" showErrorMessage="0" allowBlank="1" errorTitle="Invalid entry" error="Enter 1 (present) or 0 (absent), or leave blank." type="list">
      <formula1>"1,0"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September - 2026</t>
        </is>
      </c>
    </row>
    <row r="3">
      <c r="B3" s="3" t="inlineStr">
        <is>
          <t>Month:</t>
        </is>
      </c>
      <c r="C3" s="4" t="inlineStr">
        <is>
          <t>September 2026</t>
        </is>
      </c>
      <c r="K3" s="3" t="inlineStr">
        <is>
          <t>Sundays:</t>
        </is>
      </c>
      <c r="L3" s="5" t="n">
        <v>4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Sep 6</t>
        </is>
      </c>
      <c r="E4" s="7" t="inlineStr">
        <is>
          <t>Sun, Sep 13</t>
        </is>
      </c>
      <c r="F4" s="7" t="inlineStr">
        <is>
          <t>Sun, Sep 20</t>
        </is>
      </c>
      <c r="G4" s="7" t="inlineStr">
        <is>
          <t>Sun, Sep 27</t>
        </is>
      </c>
      <c r="H4" s="7" t="n"/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16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16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16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16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16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16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16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16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16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16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16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16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16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16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16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16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16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16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16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16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16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16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16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D5:G27" showDropDown="0" showInputMessage="0" showErrorMessage="0" allowBlank="1" errorTitle="Invalid entry" error="Enter 1 (present) or 0 (absent), or leave blank." type="list">
      <formula1>"1,0"</formula1>
    </dataValidation>
    <dataValidation sqref="H5:H27" showDropDown="0" showInputMessage="0" showErrorMessage="0" allowBlank="1" errorTitle="No class" error="This month has no 5th Sunday - leave this column empty." type="custom">
      <formula1>FALSE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October - 2026</t>
        </is>
      </c>
    </row>
    <row r="3">
      <c r="B3" s="3" t="inlineStr">
        <is>
          <t>Month:</t>
        </is>
      </c>
      <c r="C3" s="4" t="inlineStr">
        <is>
          <t>October 2026</t>
        </is>
      </c>
      <c r="K3" s="3" t="inlineStr">
        <is>
          <t>Sundays:</t>
        </is>
      </c>
      <c r="L3" s="5" t="n">
        <v>4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Oct 4</t>
        </is>
      </c>
      <c r="E4" s="7" t="inlineStr">
        <is>
          <t>Sun, Oct 11</t>
        </is>
      </c>
      <c r="F4" s="7" t="inlineStr">
        <is>
          <t>Sun, Oct 18</t>
        </is>
      </c>
      <c r="G4" s="7" t="inlineStr">
        <is>
          <t>Sun, Oct 25</t>
        </is>
      </c>
      <c r="H4" s="7" t="n"/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16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16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16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16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16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16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16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16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16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16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16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16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16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16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16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16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16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16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16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16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16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16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16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D5:G27" showDropDown="0" showInputMessage="0" showErrorMessage="0" allowBlank="1" errorTitle="Invalid entry" error="Enter 1 (present) or 0 (absent), or leave blank." type="list">
      <formula1>"1,0"</formula1>
    </dataValidation>
    <dataValidation sqref="H5:H27" showDropDown="0" showInputMessage="0" showErrorMessage="0" allowBlank="1" errorTitle="No class" error="This month has no 5th Sunday - leave this column empty." type="custom">
      <formula1>FALSE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November - 2026</t>
        </is>
      </c>
    </row>
    <row r="3">
      <c r="B3" s="3" t="inlineStr">
        <is>
          <t>Month:</t>
        </is>
      </c>
      <c r="C3" s="4" t="inlineStr">
        <is>
          <t>November 2026</t>
        </is>
      </c>
      <c r="K3" s="3" t="inlineStr">
        <is>
          <t>Sundays:</t>
        </is>
      </c>
      <c r="L3" s="5" t="n">
        <v>5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Nov 1</t>
        </is>
      </c>
      <c r="E4" s="7" t="inlineStr">
        <is>
          <t>Sun, Nov 8</t>
        </is>
      </c>
      <c r="F4" s="7" t="inlineStr">
        <is>
          <t>Sun, Nov 15</t>
        </is>
      </c>
      <c r="G4" s="7" t="inlineStr">
        <is>
          <t>Sun, Nov 22</t>
        </is>
      </c>
      <c r="H4" s="7" t="inlineStr">
        <is>
          <t>Sun, Nov 29</t>
        </is>
      </c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9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9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9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9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9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9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9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9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9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9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9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9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9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9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9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9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9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9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9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9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9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9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9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1">
    <dataValidation sqref="D5:H27" showDropDown="0" showInputMessage="0" showErrorMessage="0" allowBlank="1" errorTitle="Invalid entry" error="Enter 1 (present) or 0 (absent), or leave blank." type="list">
      <formula1>"1,0"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December - 2026</t>
        </is>
      </c>
    </row>
    <row r="3">
      <c r="B3" s="3" t="inlineStr">
        <is>
          <t>Month:</t>
        </is>
      </c>
      <c r="C3" s="4" t="inlineStr">
        <is>
          <t>December 2026</t>
        </is>
      </c>
      <c r="K3" s="3" t="inlineStr">
        <is>
          <t>Sundays:</t>
        </is>
      </c>
      <c r="L3" s="5" t="n">
        <v>4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Dec 6</t>
        </is>
      </c>
      <c r="E4" s="7" t="inlineStr">
        <is>
          <t>Sun, Dec 13</t>
        </is>
      </c>
      <c r="F4" s="7" t="inlineStr">
        <is>
          <t>Sun, Dec 20</t>
        </is>
      </c>
      <c r="G4" s="7" t="inlineStr">
        <is>
          <t>Sun, Dec 27</t>
        </is>
      </c>
      <c r="H4" s="7" t="n"/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16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16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16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16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16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16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16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16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16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16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16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16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16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16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16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16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16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16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16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16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16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16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16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D5:G27" showDropDown="0" showInputMessage="0" showErrorMessage="0" allowBlank="1" errorTitle="Invalid entry" error="Enter 1 (present) or 0 (absent), or leave blank." type="list">
      <formula1>"1,0"</formula1>
    </dataValidation>
    <dataValidation sqref="H5:H27" showDropDown="0" showInputMessage="0" showErrorMessage="0" allowBlank="1" errorTitle="No class" error="This month has no 5th Sunday - leave this column empty." type="custom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January - 2027</t>
        </is>
      </c>
    </row>
    <row r="3">
      <c r="B3" s="3" t="inlineStr">
        <is>
          <t>Month:</t>
        </is>
      </c>
      <c r="C3" s="4" t="inlineStr">
        <is>
          <t>January 2027</t>
        </is>
      </c>
      <c r="K3" s="3" t="inlineStr">
        <is>
          <t>Sundays:</t>
        </is>
      </c>
      <c r="L3" s="5" t="n">
        <v>5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Jan 3</t>
        </is>
      </c>
      <c r="E4" s="7" t="inlineStr">
        <is>
          <t>Sun, Jan 10</t>
        </is>
      </c>
      <c r="F4" s="7" t="inlineStr">
        <is>
          <t>Sun, Jan 17</t>
        </is>
      </c>
      <c r="G4" s="7" t="inlineStr">
        <is>
          <t>Sun, Jan 24</t>
        </is>
      </c>
      <c r="H4" s="7" t="inlineStr">
        <is>
          <t>Sun, Jan 31</t>
        </is>
      </c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9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9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9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9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9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9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9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9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9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9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9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9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9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9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9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9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9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9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9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9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9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9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9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1">
    <dataValidation sqref="D5:H27" showDropDown="0" showInputMessage="0" showErrorMessage="0" allowBlank="1" errorTitle="Invalid entry" error="Enter 1 (present) or 0 (absent), or leave blank." type="list">
      <formula1>"1,0"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February - 2027</t>
        </is>
      </c>
    </row>
    <row r="3">
      <c r="B3" s="3" t="inlineStr">
        <is>
          <t>Month:</t>
        </is>
      </c>
      <c r="C3" s="4" t="inlineStr">
        <is>
          <t>February 2027</t>
        </is>
      </c>
      <c r="K3" s="3" t="inlineStr">
        <is>
          <t>Sundays:</t>
        </is>
      </c>
      <c r="L3" s="5" t="n">
        <v>4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Feb 7</t>
        </is>
      </c>
      <c r="E4" s="7" t="inlineStr">
        <is>
          <t>Sun, Feb 14</t>
        </is>
      </c>
      <c r="F4" s="7" t="inlineStr">
        <is>
          <t>Sun, Feb 21</t>
        </is>
      </c>
      <c r="G4" s="7" t="inlineStr">
        <is>
          <t>Sun, Feb 28</t>
        </is>
      </c>
      <c r="H4" s="7" t="n"/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16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16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16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16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16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16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16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16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16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16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16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16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16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16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16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16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16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16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16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16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16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16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16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D5:G27" showDropDown="0" showInputMessage="0" showErrorMessage="0" allowBlank="1" errorTitle="Invalid entry" error="Enter 1 (present) or 0 (absent), or leave blank." type="list">
      <formula1>"1,0"</formula1>
    </dataValidation>
    <dataValidation sqref="H5:H27" showDropDown="0" showInputMessage="0" showErrorMessage="0" allowBlank="1" errorTitle="No class" error="This month has no 5th Sunday - leave this column empty." type="custom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March - 2027</t>
        </is>
      </c>
    </row>
    <row r="3">
      <c r="B3" s="3" t="inlineStr">
        <is>
          <t>Month:</t>
        </is>
      </c>
      <c r="C3" s="4" t="inlineStr">
        <is>
          <t>March 2027</t>
        </is>
      </c>
      <c r="K3" s="3" t="inlineStr">
        <is>
          <t>Sundays:</t>
        </is>
      </c>
      <c r="L3" s="5" t="n">
        <v>4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Mar 7</t>
        </is>
      </c>
      <c r="E4" s="7" t="inlineStr">
        <is>
          <t>Sun, Mar 14</t>
        </is>
      </c>
      <c r="F4" s="7" t="inlineStr">
        <is>
          <t>Sun, Mar 21</t>
        </is>
      </c>
      <c r="G4" s="7" t="inlineStr">
        <is>
          <t>Sun, Mar 28</t>
        </is>
      </c>
      <c r="H4" s="7" t="n"/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16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16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16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16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16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16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16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16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16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16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16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16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16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16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16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16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16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16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16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16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16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16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16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D5:G27" showDropDown="0" showInputMessage="0" showErrorMessage="0" allowBlank="1" errorTitle="Invalid entry" error="Enter 1 (present) or 0 (absent), or leave blank." type="list">
      <formula1>"1,0"</formula1>
    </dataValidation>
    <dataValidation sqref="H5:H27" showDropDown="0" showInputMessage="0" showErrorMessage="0" allowBlank="1" errorTitle="No class" error="This month has no 5th Sunday - leave this column empty." type="custom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April - 2027</t>
        </is>
      </c>
    </row>
    <row r="3">
      <c r="B3" s="3" t="inlineStr">
        <is>
          <t>Month:</t>
        </is>
      </c>
      <c r="C3" s="4" t="inlineStr">
        <is>
          <t>April 2027</t>
        </is>
      </c>
      <c r="K3" s="3" t="inlineStr">
        <is>
          <t>Sundays:</t>
        </is>
      </c>
      <c r="L3" s="5" t="n">
        <v>4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Apr 4</t>
        </is>
      </c>
      <c r="E4" s="7" t="inlineStr">
        <is>
          <t>Sun, Apr 11</t>
        </is>
      </c>
      <c r="F4" s="7" t="inlineStr">
        <is>
          <t>Sun, Apr 18</t>
        </is>
      </c>
      <c r="G4" s="7" t="inlineStr">
        <is>
          <t>Sun, Apr 25</t>
        </is>
      </c>
      <c r="H4" s="7" t="n"/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16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16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16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16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16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16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16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16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16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16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16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16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16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16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16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16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16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16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16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16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16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16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16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D5:G27" showDropDown="0" showInputMessage="0" showErrorMessage="0" allowBlank="1" errorTitle="Invalid entry" error="Enter 1 (present) or 0 (absent), or leave blank." type="list">
      <formula1>"1,0"</formula1>
    </dataValidation>
    <dataValidation sqref="H5:H27" showDropDown="0" showInputMessage="0" showErrorMessage="0" allowBlank="1" errorTitle="No class" error="This month has no 5th Sunday - leave this column empty." type="custom">
      <formula1>FALSE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May - 2027</t>
        </is>
      </c>
    </row>
    <row r="3">
      <c r="B3" s="3" t="inlineStr">
        <is>
          <t>Month:</t>
        </is>
      </c>
      <c r="C3" s="4" t="inlineStr">
        <is>
          <t>May 2027</t>
        </is>
      </c>
      <c r="K3" s="3" t="inlineStr">
        <is>
          <t>Sundays:</t>
        </is>
      </c>
      <c r="L3" s="5" t="n">
        <v>5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May 2</t>
        </is>
      </c>
      <c r="E4" s="7" t="inlineStr">
        <is>
          <t>Sun, May 9</t>
        </is>
      </c>
      <c r="F4" s="7" t="inlineStr">
        <is>
          <t>Sun, May 16</t>
        </is>
      </c>
      <c r="G4" s="7" t="inlineStr">
        <is>
          <t>Sun, May 23</t>
        </is>
      </c>
      <c r="H4" s="7" t="inlineStr">
        <is>
          <t>Sun, May 30</t>
        </is>
      </c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9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9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9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9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9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9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9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9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9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9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9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9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9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9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9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9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9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9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9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9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9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9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9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1">
    <dataValidation sqref="D5:H27" showDropDown="0" showInputMessage="0" showErrorMessage="0" allowBlank="1" errorTitle="Invalid entry" error="Enter 1 (present) or 0 (absent), or leave blank." type="list">
      <formula1>"1,0"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June - 2027</t>
        </is>
      </c>
    </row>
    <row r="3">
      <c r="B3" s="3" t="inlineStr">
        <is>
          <t>Month:</t>
        </is>
      </c>
      <c r="C3" s="4" t="inlineStr">
        <is>
          <t>June 2027</t>
        </is>
      </c>
      <c r="K3" s="3" t="inlineStr">
        <is>
          <t>Sundays:</t>
        </is>
      </c>
      <c r="L3" s="5" t="n">
        <v>4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Jun 6</t>
        </is>
      </c>
      <c r="E4" s="7" t="inlineStr">
        <is>
          <t>Sun, Jun 13</t>
        </is>
      </c>
      <c r="F4" s="7" t="inlineStr">
        <is>
          <t>Sun, Jun 20</t>
        </is>
      </c>
      <c r="G4" s="7" t="inlineStr">
        <is>
          <t>Sun, Jun 27</t>
        </is>
      </c>
      <c r="H4" s="7" t="n"/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16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16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16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16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16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16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16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16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16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16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16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16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16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16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16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16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16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16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16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16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16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16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16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D5:G27" showDropDown="0" showInputMessage="0" showErrorMessage="0" allowBlank="1" errorTitle="Invalid entry" error="Enter 1 (present) or 0 (absent), or leave blank." type="list">
      <formula1>"1,0"</formula1>
    </dataValidation>
    <dataValidation sqref="H5:H27" showDropDown="0" showInputMessage="0" showErrorMessage="0" allowBlank="1" errorTitle="No class" error="This month has no 5th Sunday - leave this column empty." type="custom">
      <formula1>FALSE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0" customWidth="1" min="10" max="10"/>
    <col width="9" customWidth="1" min="11" max="11"/>
    <col width="6" customWidth="1" min="12" max="12"/>
  </cols>
  <sheetData>
    <row r="1">
      <c r="A1" s="1" t="inlineStr">
        <is>
          <t>Attendance Sheet for July - 2027</t>
        </is>
      </c>
    </row>
    <row r="3">
      <c r="B3" s="3" t="inlineStr">
        <is>
          <t>Month:</t>
        </is>
      </c>
      <c r="C3" s="4" t="inlineStr">
        <is>
          <t>July 2027</t>
        </is>
      </c>
      <c r="K3" s="3" t="inlineStr">
        <is>
          <t>Sundays:</t>
        </is>
      </c>
      <c r="L3" s="5" t="n">
        <v>4</v>
      </c>
    </row>
    <row r="4">
      <c r="A4" s="6" t="inlineStr">
        <is>
          <t>Grade</t>
        </is>
      </c>
      <c r="B4" s="6" t="inlineStr">
        <is>
          <t>Student Name</t>
        </is>
      </c>
      <c r="D4" s="7" t="inlineStr">
        <is>
          <t>Sun, Jul 4</t>
        </is>
      </c>
      <c r="E4" s="7" t="inlineStr">
        <is>
          <t>Sun, Jul 11</t>
        </is>
      </c>
      <c r="F4" s="7" t="inlineStr">
        <is>
          <t>Sun, Jul 18</t>
        </is>
      </c>
      <c r="G4" s="7" t="inlineStr">
        <is>
          <t>Sun, Jul 25</t>
        </is>
      </c>
      <c r="H4" s="7" t="n"/>
      <c r="I4" s="8" t="inlineStr">
        <is>
          <t>Present Count</t>
        </is>
      </c>
      <c r="J4" s="8" t="inlineStr">
        <is>
          <t>% Present</t>
        </is>
      </c>
    </row>
    <row r="5">
      <c r="A5" s="9" t="inlineStr">
        <is>
          <t>1st</t>
        </is>
      </c>
      <c r="B5" s="10" t="inlineStr">
        <is>
          <t>Ethan Renju George</t>
        </is>
      </c>
      <c r="D5" s="9" t="n"/>
      <c r="E5" s="9" t="n"/>
      <c r="F5" s="9" t="n"/>
      <c r="G5" s="9" t="n"/>
      <c r="H5" s="16" t="n"/>
      <c r="I5" s="5">
        <f>COUNTIF(D5:H5,1)</f>
        <v/>
      </c>
      <c r="J5" s="11">
        <f>IFERROR(I5/$L$3,"")</f>
        <v/>
      </c>
    </row>
    <row r="6">
      <c r="A6" s="9" t="inlineStr">
        <is>
          <t>1st</t>
        </is>
      </c>
      <c r="B6" s="10" t="inlineStr">
        <is>
          <t>Gia Ane Tom</t>
        </is>
      </c>
      <c r="D6" s="9" t="n"/>
      <c r="E6" s="9" t="n"/>
      <c r="F6" s="9" t="n"/>
      <c r="G6" s="9" t="n"/>
      <c r="H6" s="16" t="n"/>
      <c r="I6" s="5">
        <f>COUNTIF(D6:H6,1)</f>
        <v/>
      </c>
      <c r="J6" s="11">
        <f>IFERROR(I6/$L$3,"")</f>
        <v/>
      </c>
    </row>
    <row r="7">
      <c r="A7" s="9" t="inlineStr">
        <is>
          <t>2nd</t>
        </is>
      </c>
      <c r="B7" s="10" t="inlineStr">
        <is>
          <t>Evan Starly</t>
        </is>
      </c>
      <c r="D7" s="9" t="n"/>
      <c r="E7" s="9" t="n"/>
      <c r="F7" s="9" t="n"/>
      <c r="G7" s="9" t="n"/>
      <c r="H7" s="16" t="n"/>
      <c r="I7" s="5">
        <f>COUNTIF(D7:H7,1)</f>
        <v/>
      </c>
      <c r="J7" s="11">
        <f>IFERROR(I7/$L$3,"")</f>
        <v/>
      </c>
    </row>
    <row r="8">
      <c r="A8" s="9" t="inlineStr">
        <is>
          <t>2nd</t>
        </is>
      </c>
      <c r="B8" s="10" t="inlineStr">
        <is>
          <t>Evana Mathew</t>
        </is>
      </c>
      <c r="D8" s="9" t="n"/>
      <c r="E8" s="9" t="n"/>
      <c r="F8" s="9" t="n"/>
      <c r="G8" s="9" t="n"/>
      <c r="H8" s="16" t="n"/>
      <c r="I8" s="5">
        <f>COUNTIF(D8:H8,1)</f>
        <v/>
      </c>
      <c r="J8" s="11">
        <f>IFERROR(I8/$L$3,"")</f>
        <v/>
      </c>
    </row>
    <row r="9">
      <c r="A9" s="9" t="inlineStr">
        <is>
          <t>4th</t>
        </is>
      </c>
      <c r="B9" s="10" t="inlineStr">
        <is>
          <t>Eileen Mary Joe</t>
        </is>
      </c>
      <c r="D9" s="9" t="n"/>
      <c r="E9" s="9" t="n"/>
      <c r="F9" s="9" t="n"/>
      <c r="G9" s="9" t="n"/>
      <c r="H9" s="16" t="n"/>
      <c r="I9" s="5">
        <f>COUNTIF(D9:H9,1)</f>
        <v/>
      </c>
      <c r="J9" s="11">
        <f>IFERROR(I9/$L$3,"")</f>
        <v/>
      </c>
    </row>
    <row r="10">
      <c r="A10" s="9" t="inlineStr">
        <is>
          <t>4th</t>
        </is>
      </c>
      <c r="B10" s="10" t="inlineStr">
        <is>
          <t>Riyana Rince</t>
        </is>
      </c>
      <c r="D10" s="9" t="n"/>
      <c r="E10" s="9" t="n"/>
      <c r="F10" s="9" t="n"/>
      <c r="G10" s="9" t="n"/>
      <c r="H10" s="16" t="n"/>
      <c r="I10" s="5">
        <f>COUNTIF(D10:H10,1)</f>
        <v/>
      </c>
      <c r="J10" s="11">
        <f>IFERROR(I10/$L$3,"")</f>
        <v/>
      </c>
    </row>
    <row r="11">
      <c r="A11" s="9" t="inlineStr">
        <is>
          <t>5th</t>
        </is>
      </c>
      <c r="B11" s="10" t="inlineStr">
        <is>
          <t>Aaron Renju George</t>
        </is>
      </c>
      <c r="D11" s="9" t="n"/>
      <c r="E11" s="9" t="n"/>
      <c r="F11" s="9" t="n"/>
      <c r="G11" s="9" t="n"/>
      <c r="H11" s="16" t="n"/>
      <c r="I11" s="5">
        <f>COUNTIF(D11:H11,1)</f>
        <v/>
      </c>
      <c r="J11" s="11">
        <f>IFERROR(I11/$L$3,"")</f>
        <v/>
      </c>
    </row>
    <row r="12">
      <c r="A12" s="9" t="inlineStr">
        <is>
          <t>5th</t>
        </is>
      </c>
      <c r="B12" s="10" t="inlineStr">
        <is>
          <t>Ezekiel Abraham</t>
        </is>
      </c>
      <c r="D12" s="9" t="n"/>
      <c r="E12" s="9" t="n"/>
      <c r="F12" s="9" t="n"/>
      <c r="G12" s="9" t="n"/>
      <c r="H12" s="16" t="n"/>
      <c r="I12" s="5">
        <f>COUNTIF(D12:H12,1)</f>
        <v/>
      </c>
      <c r="J12" s="11">
        <f>IFERROR(I12/$L$3,"")</f>
        <v/>
      </c>
    </row>
    <row r="13">
      <c r="A13" s="9" t="inlineStr">
        <is>
          <t>6th</t>
        </is>
      </c>
      <c r="B13" s="10" t="inlineStr">
        <is>
          <t>Andrea George</t>
        </is>
      </c>
      <c r="D13" s="9" t="n"/>
      <c r="E13" s="9" t="n"/>
      <c r="F13" s="9" t="n"/>
      <c r="G13" s="9" t="n"/>
      <c r="H13" s="16" t="n"/>
      <c r="I13" s="5">
        <f>COUNTIF(D13:H13,1)</f>
        <v/>
      </c>
      <c r="J13" s="11">
        <f>IFERROR(I13/$L$3,"")</f>
        <v/>
      </c>
    </row>
    <row r="14">
      <c r="A14" s="9" t="inlineStr">
        <is>
          <t>6th</t>
        </is>
      </c>
      <c r="B14" s="10" t="inlineStr">
        <is>
          <t>Sarah Mathew</t>
        </is>
      </c>
      <c r="D14" s="9" t="n"/>
      <c r="E14" s="9" t="n"/>
      <c r="F14" s="9" t="n"/>
      <c r="G14" s="9" t="n"/>
      <c r="H14" s="16" t="n"/>
      <c r="I14" s="5">
        <f>COUNTIF(D14:H14,1)</f>
        <v/>
      </c>
      <c r="J14" s="11">
        <f>IFERROR(I14/$L$3,"")</f>
        <v/>
      </c>
    </row>
    <row r="15">
      <c r="A15" s="9" t="inlineStr">
        <is>
          <t>7th</t>
        </is>
      </c>
      <c r="B15" s="10" t="inlineStr">
        <is>
          <t>Benjamin Shino</t>
        </is>
      </c>
      <c r="D15" s="9" t="n"/>
      <c r="E15" s="9" t="n"/>
      <c r="F15" s="9" t="n"/>
      <c r="G15" s="9" t="n"/>
      <c r="H15" s="16" t="n"/>
      <c r="I15" s="5">
        <f>COUNTIF(D15:H15,1)</f>
        <v/>
      </c>
      <c r="J15" s="11">
        <f>IFERROR(I15/$L$3,"")</f>
        <v/>
      </c>
    </row>
    <row r="16">
      <c r="A16" s="9" t="inlineStr">
        <is>
          <t>7th</t>
        </is>
      </c>
      <c r="B16" s="10" t="inlineStr">
        <is>
          <t>Ethaniel Abraham</t>
        </is>
      </c>
      <c r="D16" s="9" t="n"/>
      <c r="E16" s="9" t="n"/>
      <c r="F16" s="9" t="n"/>
      <c r="G16" s="9" t="n"/>
      <c r="H16" s="16" t="n"/>
      <c r="I16" s="5">
        <f>COUNTIF(D16:H16,1)</f>
        <v/>
      </c>
      <c r="J16" s="11">
        <f>IFERROR(I16/$L$3,"")</f>
        <v/>
      </c>
    </row>
    <row r="17">
      <c r="A17" s="9" t="inlineStr">
        <is>
          <t>7th</t>
        </is>
      </c>
      <c r="B17" s="10" t="inlineStr">
        <is>
          <t>Joannah Vijay</t>
        </is>
      </c>
      <c r="D17" s="9" t="n"/>
      <c r="E17" s="9" t="n"/>
      <c r="F17" s="9" t="n"/>
      <c r="G17" s="9" t="n"/>
      <c r="H17" s="16" t="n"/>
      <c r="I17" s="5">
        <f>COUNTIF(D17:H17,1)</f>
        <v/>
      </c>
      <c r="J17" s="11">
        <f>IFERROR(I17/$L$3,"")</f>
        <v/>
      </c>
    </row>
    <row r="18">
      <c r="A18" s="9" t="inlineStr">
        <is>
          <t>8th</t>
        </is>
      </c>
      <c r="B18" s="10" t="inlineStr">
        <is>
          <t>Daniel Jacob</t>
        </is>
      </c>
      <c r="D18" s="9" t="n"/>
      <c r="E18" s="9" t="n"/>
      <c r="F18" s="9" t="n"/>
      <c r="G18" s="9" t="n"/>
      <c r="H18" s="16" t="n"/>
      <c r="I18" s="5">
        <f>COUNTIF(D18:H18,1)</f>
        <v/>
      </c>
      <c r="J18" s="11">
        <f>IFERROR(I18/$L$3,"")</f>
        <v/>
      </c>
    </row>
    <row r="19">
      <c r="A19" s="9" t="inlineStr">
        <is>
          <t>8th</t>
        </is>
      </c>
      <c r="B19" s="10" t="inlineStr">
        <is>
          <t>Ethan Starley</t>
        </is>
      </c>
      <c r="D19" s="9" t="n"/>
      <c r="E19" s="9" t="n"/>
      <c r="F19" s="9" t="n"/>
      <c r="G19" s="9" t="n"/>
      <c r="H19" s="16" t="n"/>
      <c r="I19" s="5">
        <f>COUNTIF(D19:H19,1)</f>
        <v/>
      </c>
      <c r="J19" s="11">
        <f>IFERROR(I19/$L$3,"")</f>
        <v/>
      </c>
    </row>
    <row r="20">
      <c r="A20" s="9" t="inlineStr">
        <is>
          <t>9th</t>
        </is>
      </c>
      <c r="B20" s="10" t="inlineStr">
        <is>
          <t>Eliath Abraham</t>
        </is>
      </c>
      <c r="D20" s="9" t="n"/>
      <c r="E20" s="9" t="n"/>
      <c r="F20" s="9" t="n"/>
      <c r="G20" s="9" t="n"/>
      <c r="H20" s="16" t="n"/>
      <c r="I20" s="5">
        <f>COUNTIF(D20:H20,1)</f>
        <v/>
      </c>
      <c r="J20" s="11">
        <f>IFERROR(I20/$L$3,"")</f>
        <v/>
      </c>
    </row>
    <row r="21">
      <c r="A21" s="9" t="inlineStr">
        <is>
          <t>9th</t>
        </is>
      </c>
      <c r="B21" s="10" t="inlineStr">
        <is>
          <t>Hannah Philip</t>
        </is>
      </c>
      <c r="D21" s="9" t="n"/>
      <c r="E21" s="9" t="n"/>
      <c r="F21" s="9" t="n"/>
      <c r="G21" s="9" t="n"/>
      <c r="H21" s="16" t="n"/>
      <c r="I21" s="5">
        <f>COUNTIF(D21:H21,1)</f>
        <v/>
      </c>
      <c r="J21" s="11">
        <f>IFERROR(I21/$L$3,"")</f>
        <v/>
      </c>
    </row>
    <row r="22">
      <c r="A22" s="9" t="inlineStr">
        <is>
          <t>9th</t>
        </is>
      </c>
      <c r="B22" s="10" t="inlineStr">
        <is>
          <t>Hannah Rince</t>
        </is>
      </c>
      <c r="D22" s="9" t="n"/>
      <c r="E22" s="9" t="n"/>
      <c r="F22" s="9" t="n"/>
      <c r="G22" s="9" t="n"/>
      <c r="H22" s="16" t="n"/>
      <c r="I22" s="5">
        <f>COUNTIF(D22:H22,1)</f>
        <v/>
      </c>
      <c r="J22" s="11">
        <f>IFERROR(I22/$L$3,"")</f>
        <v/>
      </c>
    </row>
    <row r="23">
      <c r="A23" s="9" t="inlineStr">
        <is>
          <t>10th</t>
        </is>
      </c>
      <c r="B23" s="10" t="inlineStr">
        <is>
          <t>Angel Abraham</t>
        </is>
      </c>
      <c r="D23" s="9" t="n"/>
      <c r="E23" s="9" t="n"/>
      <c r="F23" s="9" t="n"/>
      <c r="G23" s="9" t="n"/>
      <c r="H23" s="16" t="n"/>
      <c r="I23" s="5">
        <f>COUNTIF(D23:H23,1)</f>
        <v/>
      </c>
      <c r="J23" s="11">
        <f>IFERROR(I23/$L$3,"")</f>
        <v/>
      </c>
    </row>
    <row r="24">
      <c r="A24" s="9" t="inlineStr">
        <is>
          <t>10th</t>
        </is>
      </c>
      <c r="B24" s="10" t="inlineStr">
        <is>
          <t>Eleora Joe</t>
        </is>
      </c>
      <c r="D24" s="9" t="n"/>
      <c r="E24" s="9" t="n"/>
      <c r="F24" s="9" t="n"/>
      <c r="G24" s="9" t="n"/>
      <c r="H24" s="16" t="n"/>
      <c r="I24" s="5">
        <f>COUNTIF(D24:H24,1)</f>
        <v/>
      </c>
      <c r="J24" s="11">
        <f>IFERROR(I24/$L$3,"")</f>
        <v/>
      </c>
    </row>
    <row r="25">
      <c r="A25" s="9" t="inlineStr">
        <is>
          <t>11th</t>
        </is>
      </c>
      <c r="B25" s="10" t="inlineStr">
        <is>
          <t>Hannah Varghese</t>
        </is>
      </c>
      <c r="D25" s="9" t="n"/>
      <c r="E25" s="9" t="n"/>
      <c r="F25" s="9" t="n"/>
      <c r="G25" s="9" t="n"/>
      <c r="H25" s="16" t="n"/>
      <c r="I25" s="5">
        <f>COUNTIF(D25:H25,1)</f>
        <v/>
      </c>
      <c r="J25" s="11">
        <f>IFERROR(I25/$L$3,"")</f>
        <v/>
      </c>
    </row>
    <row r="26">
      <c r="A26" s="9" t="inlineStr">
        <is>
          <t>12th</t>
        </is>
      </c>
      <c r="B26" s="10" t="inlineStr">
        <is>
          <t>Abel Jacob</t>
        </is>
      </c>
      <c r="D26" s="9" t="n"/>
      <c r="E26" s="9" t="n"/>
      <c r="F26" s="9" t="n"/>
      <c r="G26" s="9" t="n"/>
      <c r="H26" s="16" t="n"/>
      <c r="I26" s="5">
        <f>COUNTIF(D26:H26,1)</f>
        <v/>
      </c>
      <c r="J26" s="11">
        <f>IFERROR(I26/$L$3,"")</f>
        <v/>
      </c>
    </row>
    <row r="27">
      <c r="A27" s="9" t="inlineStr">
        <is>
          <t>12th</t>
        </is>
      </c>
      <c r="B27" s="10" t="inlineStr">
        <is>
          <t>Jason Vijay</t>
        </is>
      </c>
      <c r="D27" s="9" t="n"/>
      <c r="E27" s="9" t="n"/>
      <c r="F27" s="9" t="n"/>
      <c r="G27" s="9" t="n"/>
      <c r="H27" s="16" t="n"/>
      <c r="I27" s="5">
        <f>COUNTIF(D27:H27,1)</f>
        <v/>
      </c>
      <c r="J27" s="11">
        <f>IFERROR(I27/$L$3,"")</f>
        <v/>
      </c>
    </row>
    <row r="28">
      <c r="B28" s="12" t="inlineStr">
        <is>
          <t>Total Present</t>
        </is>
      </c>
      <c r="D28" s="13">
        <f>IF(D$4="","",SUM(D5:D27))</f>
        <v/>
      </c>
      <c r="E28" s="13">
        <f>IF(E$4="","",SUM(E5:E27))</f>
        <v/>
      </c>
      <c r="F28" s="13">
        <f>IF(F$4="","",SUM(F5:F27))</f>
        <v/>
      </c>
      <c r="G28" s="13">
        <f>IF(G$4="","",SUM(G5:G27))</f>
        <v/>
      </c>
      <c r="H28" s="13">
        <f>IF(H$4="","",SUM(H5:H27))</f>
        <v/>
      </c>
    </row>
  </sheetData>
  <mergeCells count="1">
    <mergeCell ref="A1:J1"/>
  </mergeCells>
  <conditionalFormatting sqref="D5:H27">
    <cfRule type="cellIs" priority="1" operator="equal" dxfId="0">
      <formula>1</formula>
    </cfRule>
    <cfRule type="cellIs" priority="2" operator="equal" dxfId="1">
      <formula>0</formula>
    </cfRule>
  </conditionalFormatting>
  <dataValidations count="2">
    <dataValidation sqref="D5:G27" showDropDown="0" showInputMessage="0" showErrorMessage="0" allowBlank="1" errorTitle="Invalid entry" error="Enter 1 (present) or 0 (absent), or leave blank." type="list">
      <formula1>"1,0"</formula1>
    </dataValidation>
    <dataValidation sqref="H5:H27" showDropDown="0" showInputMessage="0" showErrorMessage="0" allowBlank="1" errorTitle="No class" error="This month has no 5th Sunday - leave this column empty." type="custom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Month Tabs</t>
        </is>
      </c>
    </row>
    <row r="2">
      <c r="A2" t="inlineStr">
        <is>
          <t>August 2026</t>
        </is>
      </c>
    </row>
    <row r="3">
      <c r="A3" t="inlineStr">
        <is>
          <t>September 2026</t>
        </is>
      </c>
    </row>
    <row r="4">
      <c r="A4" t="inlineStr">
        <is>
          <t>October 2026</t>
        </is>
      </c>
    </row>
    <row r="5">
      <c r="A5" t="inlineStr">
        <is>
          <t>November 2026</t>
        </is>
      </c>
    </row>
    <row r="6">
      <c r="A6" t="inlineStr">
        <is>
          <t>December 2026</t>
        </is>
      </c>
    </row>
    <row r="7">
      <c r="A7" t="inlineStr">
        <is>
          <t>January 2027</t>
        </is>
      </c>
    </row>
    <row r="8">
      <c r="A8" t="inlineStr">
        <is>
          <t>February 2027</t>
        </is>
      </c>
    </row>
    <row r="9">
      <c r="A9" t="inlineStr">
        <is>
          <t>March 2027</t>
        </is>
      </c>
    </row>
    <row r="10">
      <c r="A10" t="inlineStr">
        <is>
          <t>April 2027</t>
        </is>
      </c>
    </row>
    <row r="11">
      <c r="A11" t="inlineStr">
        <is>
          <t>May 2027</t>
        </is>
      </c>
    </row>
    <row r="12">
      <c r="A12" t="inlineStr">
        <is>
          <t>June 2027</t>
        </is>
      </c>
    </row>
    <row r="13">
      <c r="A13" t="inlineStr">
        <is>
          <t>July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2026-07-21T01:32:54Z</dcterms:created>
  <dcterms:modified xsi:type="dcterms:W3CDTF">2026-07-21T01:32:54Z</dcterms:modified>
</cp:coreProperties>
</file>