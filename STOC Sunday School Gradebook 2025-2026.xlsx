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llan\Documents\GitHub\Orthodox-Sunday-School\"/>
    </mc:Choice>
  </mc:AlternateContent>
  <xr:revisionPtr revIDLastSave="0" documentId="13_ncr:1_{25BCAA1E-82E6-4067-AD03-D1FE4FE9C7A4}" xr6:coauthVersionLast="47" xr6:coauthVersionMax="47" xr10:uidLastSave="{00000000-0000-0000-0000-000000000000}"/>
  <bookViews>
    <workbookView xWindow="3760" yWindow="3760" windowWidth="28800" windowHeight="15370" xr2:uid="{00000000-000D-0000-FFFF-FFFF00000000}"/>
  </bookViews>
  <sheets>
    <sheet name="Scores" sheetId="1" r:id="rId1"/>
    <sheet name="Class 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" l="1"/>
  <c r="C17" i="2"/>
  <c r="B17" i="2"/>
  <c r="E16" i="2"/>
  <c r="D16" i="2"/>
  <c r="C16" i="2"/>
  <c r="B16" i="2"/>
  <c r="D15" i="2"/>
  <c r="C15" i="2"/>
  <c r="B15" i="2"/>
  <c r="D14" i="2"/>
  <c r="C14" i="2"/>
  <c r="B14" i="2"/>
  <c r="D13" i="2"/>
  <c r="C13" i="2"/>
  <c r="B13" i="2"/>
  <c r="E12" i="2"/>
  <c r="D12" i="2"/>
  <c r="C12" i="2"/>
  <c r="B12" i="2"/>
  <c r="D11" i="2"/>
  <c r="C11" i="2"/>
  <c r="B11" i="2"/>
  <c r="D10" i="2"/>
  <c r="C10" i="2"/>
  <c r="B10" i="2"/>
  <c r="D9" i="2"/>
  <c r="C9" i="2"/>
  <c r="B9" i="2"/>
  <c r="D8" i="2"/>
  <c r="C8" i="2"/>
  <c r="B8" i="2"/>
  <c r="D7" i="2"/>
  <c r="C7" i="2"/>
  <c r="B7" i="2"/>
  <c r="E6" i="2"/>
  <c r="D6" i="2"/>
  <c r="C6" i="2"/>
  <c r="B6" i="2"/>
  <c r="D5" i="2"/>
  <c r="C5" i="2"/>
  <c r="B5" i="2"/>
  <c r="D4" i="2"/>
  <c r="C4" i="2"/>
  <c r="B4" i="2"/>
  <c r="E28" i="1"/>
  <c r="F28" i="1" s="1"/>
  <c r="E27" i="1"/>
  <c r="E26" i="1"/>
  <c r="E25" i="1"/>
  <c r="F25" i="1" s="1"/>
  <c r="E24" i="1"/>
  <c r="E23" i="1"/>
  <c r="F23" i="1" s="1"/>
  <c r="E22" i="1"/>
  <c r="F22" i="1" s="1"/>
  <c r="E21" i="1"/>
  <c r="F21" i="1" s="1"/>
  <c r="E20" i="1"/>
  <c r="F20" i="1" s="1"/>
  <c r="E19" i="1"/>
  <c r="E18" i="1"/>
  <c r="F18" i="1" s="1"/>
  <c r="E17" i="1"/>
  <c r="F17" i="1" s="1"/>
  <c r="E16" i="1"/>
  <c r="E15" i="1"/>
  <c r="F15" i="1" s="1"/>
  <c r="E14" i="1"/>
  <c r="E13" i="1"/>
  <c r="F13" i="1" s="1"/>
  <c r="E12" i="1"/>
  <c r="E11" i="1"/>
  <c r="F11" i="1" s="1"/>
  <c r="E10" i="1"/>
  <c r="E9" i="1"/>
  <c r="F9" i="1" s="1"/>
  <c r="E8" i="1"/>
  <c r="E7" i="1"/>
  <c r="F7" i="1" s="1"/>
  <c r="E6" i="1"/>
  <c r="E4" i="2" s="1"/>
  <c r="F10" i="1" l="1"/>
  <c r="E7" i="2"/>
  <c r="F14" i="1"/>
  <c r="E9" i="2"/>
  <c r="F26" i="1"/>
  <c r="E14" i="2"/>
  <c r="F16" i="1"/>
  <c r="E10" i="2"/>
  <c r="F24" i="1"/>
  <c r="E13" i="2"/>
  <c r="F12" i="1"/>
  <c r="E8" i="2"/>
  <c r="F8" i="1"/>
  <c r="E5" i="2"/>
  <c r="F27" i="1"/>
  <c r="E15" i="2"/>
  <c r="F19" i="1"/>
  <c r="E11" i="2"/>
  <c r="E17" i="2"/>
  <c r="F6" i="1"/>
</calcChain>
</file>

<file path=xl/sharedStrings.xml><?xml version="1.0" encoding="utf-8"?>
<sst xmlns="http://schemas.openxmlformats.org/spreadsheetml/2006/main" count="93" uniqueCount="68">
  <si>
    <t>Midterm &amp; Final Scores - 2025-2026</t>
  </si>
  <si>
    <t>Enter scores (0-100) ONLY in the yellow Midterm / Final columns. Average and Letter Grade calculate automatically. Leave blank until graded.</t>
  </si>
  <si>
    <t>Grade</t>
  </si>
  <si>
    <t>Student Name</t>
  </si>
  <si>
    <t>Midterm</t>
  </si>
  <si>
    <t>Final</t>
  </si>
  <si>
    <t>Average</t>
  </si>
  <si>
    <t>Letter Grade</t>
  </si>
  <si>
    <t>Notes</t>
  </si>
  <si>
    <t>KG</t>
  </si>
  <si>
    <t>Ethan Renju George</t>
  </si>
  <si>
    <t>Gia Ane Tom</t>
  </si>
  <si>
    <t>1st</t>
  </si>
  <si>
    <t>Evan Starly</t>
  </si>
  <si>
    <t>Evana Mathew</t>
  </si>
  <si>
    <t>3rd</t>
  </si>
  <si>
    <t>Eileen Mary Joe</t>
  </si>
  <si>
    <t>Riyana Rince</t>
  </si>
  <si>
    <t>4th</t>
  </si>
  <si>
    <t>Aaron Renju George</t>
  </si>
  <si>
    <t>Ezekiel Abraham</t>
  </si>
  <si>
    <t>5th</t>
  </si>
  <si>
    <t>Andrea George</t>
  </si>
  <si>
    <t>Sarah Mathew</t>
  </si>
  <si>
    <t>6th</t>
  </si>
  <si>
    <t>Benjamin Shino</t>
  </si>
  <si>
    <t>Ethaniel Abraham</t>
  </si>
  <si>
    <t>Joannah Vijay</t>
  </si>
  <si>
    <t>7th</t>
  </si>
  <si>
    <t>Daniel Jacob</t>
  </si>
  <si>
    <t>Ethan Starley</t>
  </si>
  <si>
    <t>8th</t>
  </si>
  <si>
    <t>Eliath Abraham</t>
  </si>
  <si>
    <t>Hannah Philip</t>
  </si>
  <si>
    <t>Hannah Rince</t>
  </si>
  <si>
    <t>9th</t>
  </si>
  <si>
    <t>Angel Abraham</t>
  </si>
  <si>
    <t>Eleora Joe</t>
  </si>
  <si>
    <t>10th</t>
  </si>
  <si>
    <t>Hannah Varghese</t>
  </si>
  <si>
    <t>11th</t>
  </si>
  <si>
    <t>Abel Jacob</t>
  </si>
  <si>
    <t>Jason Vijay</t>
  </si>
  <si>
    <t>(Example)</t>
  </si>
  <si>
    <t>Sample Student</t>
  </si>
  <si>
    <t>B</t>
  </si>
  <si>
    <t>shows expected format</t>
  </si>
  <si>
    <t>Class Summary - 2025-2026</t>
  </si>
  <si>
    <t># Students</t>
  </si>
  <si>
    <t>Avg Midterm</t>
  </si>
  <si>
    <t>Avg Final</t>
  </si>
  <si>
    <t>Class Average</t>
  </si>
  <si>
    <t>Teacher</t>
  </si>
  <si>
    <t>Helen Philip</t>
  </si>
  <si>
    <t>Mary Kaithakkal</t>
  </si>
  <si>
    <t>2nd</t>
  </si>
  <si>
    <t>N/A</t>
  </si>
  <si>
    <t>Vincy Punnoose</t>
  </si>
  <si>
    <t>Austen Binu</t>
  </si>
  <si>
    <t>Joel Jacob</t>
  </si>
  <si>
    <t>Jovin James</t>
  </si>
  <si>
    <t>Julie Shajan</t>
  </si>
  <si>
    <t>Asha Phillip</t>
  </si>
  <si>
    <t>Emily Jacob</t>
  </si>
  <si>
    <t>Kripa Varghese</t>
  </si>
  <si>
    <t>Joyce Varghese</t>
  </si>
  <si>
    <t>12th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</si>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</sst>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20"/>
      <color rgb="FF1F3864"/>
      <name val="Calibri"/>
    </font>
    <font>
      <i/>
      <sz val="9"/>
      <color rgb="FF666666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sz val="10"/>
      <name val="Calibri"/>
    </font>
    <font>
      <b/>
      <sz val="10"/>
      <name val="Calibri"/>
    </font>
    <font>
      <i/>
      <sz val="9"/>
      <color rgb="FF99999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F5496"/>
      </patternFill>
    </fill>
    <fill>
      <patternFill patternType="solid">
        <fgColor rgb="FFFFD96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/>
    <xf numFmtId="164" fontId="5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tabSelected="1" workbookViewId="0">
      <pane xSplit="2" ySplit="5" topLeftCell="C6" activePane="bottomRight" state="frozen"/>
      <selection pane="topRight"/>
      <selection pane="bottomLeft"/>
      <selection pane="bottomRight" activeCell="C11" sqref="C11"/>
    </sheetView>
  </sheetViews>
  <sheetFormatPr defaultRowHeight="14.5" x14ac:dyDescent="0.35"/>
  <cols>
    <col min="1" max="1" width="8" customWidth="1"/>
    <col min="2" max="2" width="22" customWidth="1"/>
    <col min="3" max="5" width="10" customWidth="1"/>
    <col min="6" max="6" width="12" customWidth="1"/>
    <col min="7" max="7" width="28" customWidth="1"/>
  </cols>
  <sheetData>
    <row r="1" spans="1:7" ht="26" x14ac:dyDescent="0.35">
      <c r="A1" s="12" t="s">
        <v>0</v>
      </c>
      <c r="B1" s="11"/>
      <c r="C1" s="11"/>
      <c r="D1" s="11"/>
      <c r="E1" s="11"/>
      <c r="F1" s="11"/>
      <c r="G1" s="11"/>
    </row>
    <row r="3" spans="1:7" x14ac:dyDescent="0.35">
      <c r="A3" s="10" t="s">
        <v>1</v>
      </c>
      <c r="B3" s="11"/>
      <c r="C3" s="11"/>
      <c r="D3" s="11"/>
      <c r="E3" s="11"/>
      <c r="F3" s="11"/>
      <c r="G3" s="11"/>
    </row>
    <row r="5" spans="1:7" x14ac:dyDescent="0.35">
      <c r="A5" s="1" t="s">
        <v>2</v>
      </c>
      <c r="B5" s="1" t="s">
        <v>3</v>
      </c>
      <c r="C5" s="2" t="s">
        <v>4</v>
      </c>
      <c r="D5" s="2" t="s">
        <v>5</v>
      </c>
      <c r="E5" s="1" t="s">
        <v>6</v>
      </c>
      <c r="F5" s="1" t="s">
        <v>7</v>
      </c>
      <c r="G5" s="1" t="s">
        <v>8</v>
      </c>
    </row>
    <row r="6" spans="1:7" x14ac:dyDescent="0.35">
      <c r="A6" s="3" t="s">
        <v>9</v>
      </c>
      <c r="B6" s="4" t="s">
        <v>10</v>
      </c>
      <c r="C6" s="5">
        <v>100</v>
      </c>
      <c r="D6" s="5">
        <v>100</v>
      </c>
      <c r="E6" s="6">
        <f t="shared" ref="E6:E28" si="0">IFERROR(AVERAGE(C6:D6),"")</f>
        <v>100</v>
      </c>
      <c r="F6" s="7" t="str">
        <f t="shared" ref="F6:F28" si="1">IF(E6="","",IF(E6&gt;=90,"A",IF(E6&gt;=80,"B",IF(E6&gt;=70,"C",IF(E6&gt;=60,"D","F")))))</f>
        <v>A</v>
      </c>
      <c r="G6" s="4"/>
    </row>
    <row r="7" spans="1:7" x14ac:dyDescent="0.35">
      <c r="A7" s="3" t="s">
        <v>9</v>
      </c>
      <c r="B7" s="4" t="s">
        <v>11</v>
      </c>
      <c r="C7" s="5">
        <v>100</v>
      </c>
      <c r="D7" s="5">
        <v>100</v>
      </c>
      <c r="E7" s="6">
        <f t="shared" si="0"/>
        <v>100</v>
      </c>
      <c r="F7" s="7" t="str">
        <f t="shared" si="1"/>
        <v>A</v>
      </c>
      <c r="G7" s="4"/>
    </row>
    <row r="8" spans="1:7" x14ac:dyDescent="0.35">
      <c r="A8" s="3" t="s">
        <v>12</v>
      </c>
      <c r="B8" s="4" t="s">
        <v>13</v>
      </c>
      <c r="C8" s="5">
        <v>100</v>
      </c>
      <c r="D8" s="5">
        <v>98</v>
      </c>
      <c r="E8" s="6">
        <f t="shared" si="0"/>
        <v>99</v>
      </c>
      <c r="F8" s="7" t="str">
        <f t="shared" si="1"/>
        <v>A</v>
      </c>
      <c r="G8" s="4"/>
    </row>
    <row r="9" spans="1:7" x14ac:dyDescent="0.35">
      <c r="A9" s="3" t="s">
        <v>12</v>
      </c>
      <c r="B9" s="4" t="s">
        <v>14</v>
      </c>
      <c r="C9" s="5">
        <v>100</v>
      </c>
      <c r="D9" s="5">
        <v>100</v>
      </c>
      <c r="E9" s="6">
        <f t="shared" si="0"/>
        <v>100</v>
      </c>
      <c r="F9" s="7" t="str">
        <f t="shared" si="1"/>
        <v>A</v>
      </c>
      <c r="G9" s="4"/>
    </row>
    <row r="10" spans="1:7" x14ac:dyDescent="0.35">
      <c r="A10" s="3" t="s">
        <v>15</v>
      </c>
      <c r="B10" s="4" t="s">
        <v>16</v>
      </c>
      <c r="C10" s="5"/>
      <c r="D10" s="5"/>
      <c r="E10" s="6" t="str">
        <f t="shared" si="0"/>
        <v/>
      </c>
      <c r="F10" s="7" t="str">
        <f t="shared" si="1"/>
        <v/>
      </c>
      <c r="G10" s="4"/>
    </row>
    <row r="11" spans="1:7" x14ac:dyDescent="0.35">
      <c r="A11" s="3" t="s">
        <v>15</v>
      </c>
      <c r="B11" s="4" t="s">
        <v>17</v>
      </c>
      <c r="C11" s="5"/>
      <c r="D11" s="5"/>
      <c r="E11" s="6" t="str">
        <f t="shared" si="0"/>
        <v/>
      </c>
      <c r="F11" s="7" t="str">
        <f t="shared" si="1"/>
        <v/>
      </c>
      <c r="G11" s="4"/>
    </row>
    <row r="12" spans="1:7" x14ac:dyDescent="0.35">
      <c r="A12" s="3" t="s">
        <v>18</v>
      </c>
      <c r="B12" s="4" t="s">
        <v>19</v>
      </c>
      <c r="C12" s="5"/>
      <c r="D12" s="5">
        <v>100</v>
      </c>
      <c r="E12" s="6">
        <f t="shared" si="0"/>
        <v>100</v>
      </c>
      <c r="F12" s="7" t="str">
        <f t="shared" si="1"/>
        <v>A</v>
      </c>
      <c r="G12" s="4"/>
    </row>
    <row r="13" spans="1:7" x14ac:dyDescent="0.35">
      <c r="A13" s="3" t="s">
        <v>18</v>
      </c>
      <c r="B13" s="4" t="s">
        <v>20</v>
      </c>
      <c r="C13" s="5"/>
      <c r="D13" s="5">
        <v>100</v>
      </c>
      <c r="E13" s="6">
        <f t="shared" si="0"/>
        <v>100</v>
      </c>
      <c r="F13" s="7" t="str">
        <f t="shared" si="1"/>
        <v>A</v>
      </c>
      <c r="G13" s="4"/>
    </row>
    <row r="14" spans="1:7" x14ac:dyDescent="0.35">
      <c r="A14" s="3" t="s">
        <v>21</v>
      </c>
      <c r="B14" s="4" t="s">
        <v>22</v>
      </c>
      <c r="C14" s="5">
        <v>100</v>
      </c>
      <c r="D14" s="5">
        <v>100</v>
      </c>
      <c r="E14" s="6">
        <f t="shared" si="0"/>
        <v>100</v>
      </c>
      <c r="F14" s="7" t="str">
        <f t="shared" si="1"/>
        <v>A</v>
      </c>
      <c r="G14" s="4"/>
    </row>
    <row r="15" spans="1:7" x14ac:dyDescent="0.35">
      <c r="A15" s="3" t="s">
        <v>21</v>
      </c>
      <c r="B15" s="4" t="s">
        <v>23</v>
      </c>
      <c r="C15" s="5">
        <v>100</v>
      </c>
      <c r="D15" s="5">
        <v>100</v>
      </c>
      <c r="E15" s="6">
        <f t="shared" si="0"/>
        <v>100</v>
      </c>
      <c r="F15" s="7" t="str">
        <f t="shared" si="1"/>
        <v>A</v>
      </c>
      <c r="G15" s="4"/>
    </row>
    <row r="16" spans="1:7" x14ac:dyDescent="0.35">
      <c r="A16" s="3" t="s">
        <v>24</v>
      </c>
      <c r="B16" s="4" t="s">
        <v>25</v>
      </c>
      <c r="C16" s="5">
        <v>72</v>
      </c>
      <c r="D16" s="5">
        <v>70</v>
      </c>
      <c r="E16" s="6">
        <f t="shared" si="0"/>
        <v>71</v>
      </c>
      <c r="F16" s="7" t="str">
        <f t="shared" si="1"/>
        <v>C</v>
      </c>
      <c r="G16" s="4"/>
    </row>
    <row r="17" spans="1:7" x14ac:dyDescent="0.35">
      <c r="A17" s="3" t="s">
        <v>24</v>
      </c>
      <c r="B17" s="4" t="s">
        <v>26</v>
      </c>
      <c r="C17" s="5">
        <v>100</v>
      </c>
      <c r="D17" s="5">
        <v>98</v>
      </c>
      <c r="E17" s="6">
        <f t="shared" si="0"/>
        <v>99</v>
      </c>
      <c r="F17" s="7" t="str">
        <f t="shared" si="1"/>
        <v>A</v>
      </c>
      <c r="G17" s="4"/>
    </row>
    <row r="18" spans="1:7" x14ac:dyDescent="0.35">
      <c r="A18" s="3" t="s">
        <v>24</v>
      </c>
      <c r="B18" s="4" t="s">
        <v>27</v>
      </c>
      <c r="C18" s="5">
        <v>87</v>
      </c>
      <c r="D18" s="5">
        <v>78</v>
      </c>
      <c r="E18" s="6">
        <f t="shared" si="0"/>
        <v>82.5</v>
      </c>
      <c r="F18" s="7" t="str">
        <f t="shared" si="1"/>
        <v>B</v>
      </c>
      <c r="G18" s="4"/>
    </row>
    <row r="19" spans="1:7" x14ac:dyDescent="0.35">
      <c r="A19" s="3" t="s">
        <v>28</v>
      </c>
      <c r="B19" s="4" t="s">
        <v>29</v>
      </c>
      <c r="C19" s="5">
        <v>83</v>
      </c>
      <c r="D19" s="5">
        <v>100</v>
      </c>
      <c r="E19" s="6">
        <f t="shared" si="0"/>
        <v>91.5</v>
      </c>
      <c r="F19" s="7" t="str">
        <f t="shared" si="1"/>
        <v>A</v>
      </c>
      <c r="G19" s="4"/>
    </row>
    <row r="20" spans="1:7" x14ac:dyDescent="0.35">
      <c r="A20" s="3" t="s">
        <v>28</v>
      </c>
      <c r="B20" s="4" t="s">
        <v>30</v>
      </c>
      <c r="C20" s="5">
        <v>86</v>
      </c>
      <c r="D20" s="5">
        <v>86</v>
      </c>
      <c r="E20" s="6">
        <f t="shared" si="0"/>
        <v>86</v>
      </c>
      <c r="F20" s="7" t="str">
        <f t="shared" si="1"/>
        <v>B</v>
      </c>
      <c r="G20" s="4"/>
    </row>
    <row r="21" spans="1:7" x14ac:dyDescent="0.35">
      <c r="A21" s="3" t="s">
        <v>31</v>
      </c>
      <c r="B21" s="4" t="s">
        <v>32</v>
      </c>
      <c r="C21" s="5"/>
      <c r="D21" s="5"/>
      <c r="E21" s="6" t="str">
        <f t="shared" si="0"/>
        <v/>
      </c>
      <c r="F21" s="7" t="str">
        <f t="shared" si="1"/>
        <v/>
      </c>
      <c r="G21" s="4"/>
    </row>
    <row r="22" spans="1:7" x14ac:dyDescent="0.35">
      <c r="A22" s="3" t="s">
        <v>31</v>
      </c>
      <c r="B22" s="4" t="s">
        <v>33</v>
      </c>
      <c r="C22" s="5"/>
      <c r="D22" s="5"/>
      <c r="E22" s="6" t="str">
        <f t="shared" si="0"/>
        <v/>
      </c>
      <c r="F22" s="7" t="str">
        <f t="shared" si="1"/>
        <v/>
      </c>
      <c r="G22" s="4"/>
    </row>
    <row r="23" spans="1:7" x14ac:dyDescent="0.35">
      <c r="A23" s="3" t="s">
        <v>31</v>
      </c>
      <c r="B23" s="4" t="s">
        <v>34</v>
      </c>
      <c r="C23" s="5"/>
      <c r="D23" s="5"/>
      <c r="E23" s="6" t="str">
        <f t="shared" si="0"/>
        <v/>
      </c>
      <c r="F23" s="7" t="str">
        <f t="shared" si="1"/>
        <v/>
      </c>
      <c r="G23" s="4"/>
    </row>
    <row r="24" spans="1:7" x14ac:dyDescent="0.35">
      <c r="A24" s="3" t="s">
        <v>35</v>
      </c>
      <c r="B24" s="4" t="s">
        <v>36</v>
      </c>
      <c r="C24" s="5">
        <v>90</v>
      </c>
      <c r="D24" s="5">
        <v>95</v>
      </c>
      <c r="E24" s="6">
        <f t="shared" si="0"/>
        <v>92.5</v>
      </c>
      <c r="F24" s="7" t="str">
        <f t="shared" si="1"/>
        <v>A</v>
      </c>
      <c r="G24" s="4"/>
    </row>
    <row r="25" spans="1:7" x14ac:dyDescent="0.35">
      <c r="A25" s="3" t="s">
        <v>35</v>
      </c>
      <c r="B25" s="4" t="s">
        <v>37</v>
      </c>
      <c r="C25" s="5">
        <v>90</v>
      </c>
      <c r="D25" s="5">
        <v>95</v>
      </c>
      <c r="E25" s="6">
        <f t="shared" si="0"/>
        <v>92.5</v>
      </c>
      <c r="F25" s="7" t="str">
        <f t="shared" si="1"/>
        <v>A</v>
      </c>
      <c r="G25" s="4"/>
    </row>
    <row r="26" spans="1:7" x14ac:dyDescent="0.35">
      <c r="A26" s="3" t="s">
        <v>38</v>
      </c>
      <c r="B26" s="4" t="s">
        <v>39</v>
      </c>
      <c r="C26" s="5">
        <v>100</v>
      </c>
      <c r="D26" s="5">
        <v>100</v>
      </c>
      <c r="E26" s="6">
        <f t="shared" si="0"/>
        <v>100</v>
      </c>
      <c r="F26" s="7" t="str">
        <f t="shared" si="1"/>
        <v>A</v>
      </c>
      <c r="G26" s="4"/>
    </row>
    <row r="27" spans="1:7" x14ac:dyDescent="0.35">
      <c r="A27" s="3" t="s">
        <v>40</v>
      </c>
      <c r="B27" s="4" t="s">
        <v>41</v>
      </c>
      <c r="C27" s="5">
        <v>88</v>
      </c>
      <c r="D27" s="5">
        <v>78</v>
      </c>
      <c r="E27" s="6">
        <f t="shared" si="0"/>
        <v>83</v>
      </c>
      <c r="F27" s="7" t="str">
        <f t="shared" si="1"/>
        <v>B</v>
      </c>
      <c r="G27" s="4"/>
    </row>
    <row r="28" spans="1:7" x14ac:dyDescent="0.35">
      <c r="A28" s="3" t="s">
        <v>40</v>
      </c>
      <c r="B28" s="4" t="s">
        <v>42</v>
      </c>
      <c r="C28" s="5">
        <v>97</v>
      </c>
      <c r="D28" s="5">
        <v>88</v>
      </c>
      <c r="E28" s="6">
        <f t="shared" si="0"/>
        <v>92.5</v>
      </c>
      <c r="F28" s="7" t="str">
        <f t="shared" si="1"/>
        <v>A</v>
      </c>
      <c r="G28" s="4"/>
    </row>
    <row r="30" spans="1:7" x14ac:dyDescent="0.35">
      <c r="A30" s="8" t="s">
        <v>43</v>
      </c>
      <c r="B30" s="8" t="s">
        <v>44</v>
      </c>
      <c r="C30" s="8">
        <v>85</v>
      </c>
      <c r="D30" s="8">
        <v>92</v>
      </c>
      <c r="E30" s="8">
        <v>88.5</v>
      </c>
      <c r="F30" s="8" t="s">
        <v>45</v>
      </c>
      <c r="G30" s="8" t="s">
        <v>46</v>
      </c>
    </row>
  </sheetData>
  <mergeCells count="2">
    <mergeCell ref="A3:G3"/>
    <mergeCell ref="A1:G1"/>
  </mergeCells>
  <conditionalFormatting sqref="F6:F28">
    <cfRule type="cellIs" dxfId="1" priority="1" operator="equal">
      <formula>"F"</formula>
    </cfRule>
    <cfRule type="cellIs" dxfId="0" priority="2" operator="equal">
      <formula>"A"</formula>
    </cfRule>
  </conditionalFormatting>
  <dataValidations disablePrompts="1" count="1">
    <dataValidation type="decimal" allowBlank="1" errorTitle="Invalid score" error="Scores must be between 0 and 100." sqref="C6:D28" xr:uid="{00000000-0002-0000-0000-000000000000}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workbookViewId="0"/>
  </sheetViews>
  <sheetFormatPr defaultRowHeight="14.5" x14ac:dyDescent="0.35"/>
  <cols>
    <col min="1" max="1" width="8" customWidth="1"/>
    <col min="2" max="2" width="11" customWidth="1"/>
    <col min="3" max="4" width="12" customWidth="1"/>
    <col min="5" max="5" width="13" customWidth="1"/>
    <col min="6" max="6" width="20" customWidth="1"/>
  </cols>
  <sheetData>
    <row r="1" spans="1:6" ht="26" x14ac:dyDescent="0.35">
      <c r="A1" s="12" t="s">
        <v>47</v>
      </c>
      <c r="B1" s="11"/>
      <c r="C1" s="11"/>
      <c r="D1" s="11"/>
      <c r="E1" s="11"/>
      <c r="F1" s="11"/>
    </row>
    <row r="3" spans="1:6" x14ac:dyDescent="0.35">
      <c r="A3" s="1" t="s">
        <v>2</v>
      </c>
      <c r="B3" s="1" t="s">
        <v>48</v>
      </c>
      <c r="C3" s="1" t="s">
        <v>49</v>
      </c>
      <c r="D3" s="1" t="s">
        <v>50</v>
      </c>
      <c r="E3" s="1" t="s">
        <v>51</v>
      </c>
      <c r="F3" s="1" t="s">
        <v>52</v>
      </c>
    </row>
    <row r="4" spans="1:6" x14ac:dyDescent="0.35">
      <c r="A4" s="3" t="s">
        <v>9</v>
      </c>
      <c r="B4" s="3">
        <f>COUNTIF(Scores!$A$6:$A$28,A4)</f>
        <v>2</v>
      </c>
      <c r="C4" s="9">
        <f>IFERROR(AVERAGEIF(Scores!$A$6:$A$28,$A4,Scores!$C$6:$C$28),"-")</f>
        <v>100</v>
      </c>
      <c r="D4" s="9">
        <f>IFERROR(AVERAGEIF(Scores!$A$6:$A$28,$A4,Scores!$D$6:$D$28),"-")</f>
        <v>100</v>
      </c>
      <c r="E4" s="9">
        <f>IFERROR(AVERAGEIF(Scores!$A$6:$A$28,$A4,Scores!$E$6:$E$28),"-")</f>
        <v>100</v>
      </c>
      <c r="F4" s="4" t="s">
        <v>53</v>
      </c>
    </row>
    <row r="5" spans="1:6" x14ac:dyDescent="0.35">
      <c r="A5" s="3" t="s">
        <v>12</v>
      </c>
      <c r="B5" s="3">
        <f>COUNTIF(Scores!$A$6:$A$28,A5)</f>
        <v>2</v>
      </c>
      <c r="C5" s="9">
        <f>IFERROR(AVERAGEIF(Scores!$A$6:$A$28,$A5,Scores!$C$6:$C$28),"-")</f>
        <v>100</v>
      </c>
      <c r="D5" s="9">
        <f>IFERROR(AVERAGEIF(Scores!$A$6:$A$28,$A5,Scores!$D$6:$D$28),"-")</f>
        <v>99</v>
      </c>
      <c r="E5" s="9">
        <f>IFERROR(AVERAGEIF(Scores!$A$6:$A$28,$A5,Scores!$E$6:$E$28),"-")</f>
        <v>99.5</v>
      </c>
      <c r="F5" s="4" t="s">
        <v>54</v>
      </c>
    </row>
    <row r="6" spans="1:6" x14ac:dyDescent="0.35">
      <c r="A6" s="3" t="s">
        <v>55</v>
      </c>
      <c r="B6" s="3">
        <f>COUNTIF(Scores!$A$6:$A$28,A6)</f>
        <v>0</v>
      </c>
      <c r="C6" s="9" t="str">
        <f>IFERROR(AVERAGEIF(Scores!$A$6:$A$28,$A6,Scores!$C$6:$C$28),"-")</f>
        <v>-</v>
      </c>
      <c r="D6" s="9" t="str">
        <f>IFERROR(AVERAGEIF(Scores!$A$6:$A$28,$A6,Scores!$D$6:$D$28),"-")</f>
        <v>-</v>
      </c>
      <c r="E6" s="9" t="str">
        <f>IFERROR(AVERAGEIF(Scores!$A$6:$A$28,$A6,Scores!$E$6:$E$28),"-")</f>
        <v>-</v>
      </c>
      <c r="F6" s="4" t="s">
        <v>56</v>
      </c>
    </row>
    <row r="7" spans="1:6" x14ac:dyDescent="0.35">
      <c r="A7" s="3" t="s">
        <v>15</v>
      </c>
      <c r="B7" s="3">
        <f>COUNTIF(Scores!$A$6:$A$28,A7)</f>
        <v>2</v>
      </c>
      <c r="C7" s="9" t="str">
        <f>IFERROR(AVERAGEIF(Scores!$A$6:$A$28,$A7,Scores!$C$6:$C$28),"-")</f>
        <v>-</v>
      </c>
      <c r="D7" s="9" t="str">
        <f>IFERROR(AVERAGEIF(Scores!$A$6:$A$28,$A7,Scores!$D$6:$D$28),"-")</f>
        <v>-</v>
      </c>
      <c r="E7" s="9" t="str">
        <f>IFERROR(AVERAGEIF(Scores!$A$6:$A$28,$A7,Scores!$E$6:$E$28),"-")</f>
        <v>-</v>
      </c>
      <c r="F7" s="4" t="s">
        <v>57</v>
      </c>
    </row>
    <row r="8" spans="1:6" x14ac:dyDescent="0.35">
      <c r="A8" s="3" t="s">
        <v>18</v>
      </c>
      <c r="B8" s="3">
        <f>COUNTIF(Scores!$A$6:$A$28,A8)</f>
        <v>2</v>
      </c>
      <c r="C8" s="9" t="str">
        <f>IFERROR(AVERAGEIF(Scores!$A$6:$A$28,$A8,Scores!$C$6:$C$28),"-")</f>
        <v>-</v>
      </c>
      <c r="D8" s="9">
        <f>IFERROR(AVERAGEIF(Scores!$A$6:$A$28,$A8,Scores!$D$6:$D$28),"-")</f>
        <v>100</v>
      </c>
      <c r="E8" s="9">
        <f>IFERROR(AVERAGEIF(Scores!$A$6:$A$28,$A8,Scores!$E$6:$E$28),"-")</f>
        <v>100</v>
      </c>
      <c r="F8" s="4" t="s">
        <v>58</v>
      </c>
    </row>
    <row r="9" spans="1:6" x14ac:dyDescent="0.35">
      <c r="A9" s="3" t="s">
        <v>21</v>
      </c>
      <c r="B9" s="3">
        <f>COUNTIF(Scores!$A$6:$A$28,A9)</f>
        <v>2</v>
      </c>
      <c r="C9" s="9">
        <f>IFERROR(AVERAGEIF(Scores!$A$6:$A$28,$A9,Scores!$C$6:$C$28),"-")</f>
        <v>100</v>
      </c>
      <c r="D9" s="9">
        <f>IFERROR(AVERAGEIF(Scores!$A$6:$A$28,$A9,Scores!$D$6:$D$28),"-")</f>
        <v>100</v>
      </c>
      <c r="E9" s="9">
        <f>IFERROR(AVERAGEIF(Scores!$A$6:$A$28,$A9,Scores!$E$6:$E$28),"-")</f>
        <v>100</v>
      </c>
      <c r="F9" s="4" t="s">
        <v>59</v>
      </c>
    </row>
    <row r="10" spans="1:6" x14ac:dyDescent="0.35">
      <c r="A10" s="3" t="s">
        <v>24</v>
      </c>
      <c r="B10" s="3">
        <f>COUNTIF(Scores!$A$6:$A$28,A10)</f>
        <v>3</v>
      </c>
      <c r="C10" s="9">
        <f>IFERROR(AVERAGEIF(Scores!$A$6:$A$28,$A10,Scores!$C$6:$C$28),"-")</f>
        <v>86.333333333333329</v>
      </c>
      <c r="D10" s="9">
        <f>IFERROR(AVERAGEIF(Scores!$A$6:$A$28,$A10,Scores!$D$6:$D$28),"-")</f>
        <v>82</v>
      </c>
      <c r="E10" s="9">
        <f>IFERROR(AVERAGEIF(Scores!$A$6:$A$28,$A10,Scores!$E$6:$E$28),"-")</f>
        <v>84.166666666666671</v>
      </c>
      <c r="F10" s="4" t="s">
        <v>60</v>
      </c>
    </row>
    <row r="11" spans="1:6" x14ac:dyDescent="0.35">
      <c r="A11" s="3" t="s">
        <v>28</v>
      </c>
      <c r="B11" s="3">
        <f>COUNTIF(Scores!$A$6:$A$28,A11)</f>
        <v>2</v>
      </c>
      <c r="C11" s="9">
        <f>IFERROR(AVERAGEIF(Scores!$A$6:$A$28,$A11,Scores!$C$6:$C$28),"-")</f>
        <v>84.5</v>
      </c>
      <c r="D11" s="9">
        <f>IFERROR(AVERAGEIF(Scores!$A$6:$A$28,$A11,Scores!$D$6:$D$28),"-")</f>
        <v>93</v>
      </c>
      <c r="E11" s="9">
        <f>IFERROR(AVERAGEIF(Scores!$A$6:$A$28,$A11,Scores!$E$6:$E$28),"-")</f>
        <v>88.75</v>
      </c>
      <c r="F11" s="4" t="s">
        <v>61</v>
      </c>
    </row>
    <row r="12" spans="1:6" x14ac:dyDescent="0.35">
      <c r="A12" s="3" t="s">
        <v>31</v>
      </c>
      <c r="B12" s="3">
        <f>COUNTIF(Scores!$A$6:$A$28,A12)</f>
        <v>3</v>
      </c>
      <c r="C12" s="9" t="str">
        <f>IFERROR(AVERAGEIF(Scores!$A$6:$A$28,$A12,Scores!$C$6:$C$28),"-")</f>
        <v>-</v>
      </c>
      <c r="D12" s="9" t="str">
        <f>IFERROR(AVERAGEIF(Scores!$A$6:$A$28,$A12,Scores!$D$6:$D$28),"-")</f>
        <v>-</v>
      </c>
      <c r="E12" s="9" t="str">
        <f>IFERROR(AVERAGEIF(Scores!$A$6:$A$28,$A12,Scores!$E$6:$E$28),"-")</f>
        <v>-</v>
      </c>
      <c r="F12" s="4" t="s">
        <v>62</v>
      </c>
    </row>
    <row r="13" spans="1:6" x14ac:dyDescent="0.35">
      <c r="A13" s="3" t="s">
        <v>35</v>
      </c>
      <c r="B13" s="3">
        <f>COUNTIF(Scores!$A$6:$A$28,A13)</f>
        <v>2</v>
      </c>
      <c r="C13" s="9">
        <f>IFERROR(AVERAGEIF(Scores!$A$6:$A$28,$A13,Scores!$C$6:$C$28),"-")</f>
        <v>90</v>
      </c>
      <c r="D13" s="9">
        <f>IFERROR(AVERAGEIF(Scores!$A$6:$A$28,$A13,Scores!$D$6:$D$28),"-")</f>
        <v>95</v>
      </c>
      <c r="E13" s="9">
        <f>IFERROR(AVERAGEIF(Scores!$A$6:$A$28,$A13,Scores!$E$6:$E$28),"-")</f>
        <v>92.5</v>
      </c>
      <c r="F13" s="4" t="s">
        <v>63</v>
      </c>
    </row>
    <row r="14" spans="1:6" x14ac:dyDescent="0.35">
      <c r="A14" s="3" t="s">
        <v>38</v>
      </c>
      <c r="B14" s="3">
        <f>COUNTIF(Scores!$A$6:$A$28,A14)</f>
        <v>1</v>
      </c>
      <c r="C14" s="9">
        <f>IFERROR(AVERAGEIF(Scores!$A$6:$A$28,$A14,Scores!$C$6:$C$28),"-")</f>
        <v>100</v>
      </c>
      <c r="D14" s="9">
        <f>IFERROR(AVERAGEIF(Scores!$A$6:$A$28,$A14,Scores!$D$6:$D$28),"-")</f>
        <v>100</v>
      </c>
      <c r="E14" s="9">
        <f>IFERROR(AVERAGEIF(Scores!$A$6:$A$28,$A14,Scores!$E$6:$E$28),"-")</f>
        <v>100</v>
      </c>
      <c r="F14" s="4" t="s">
        <v>64</v>
      </c>
    </row>
    <row r="15" spans="1:6" x14ac:dyDescent="0.35">
      <c r="A15" s="3" t="s">
        <v>40</v>
      </c>
      <c r="B15" s="3">
        <f>COUNTIF(Scores!$A$6:$A$28,A15)</f>
        <v>2</v>
      </c>
      <c r="C15" s="9">
        <f>IFERROR(AVERAGEIF(Scores!$A$6:$A$28,$A15,Scores!$C$6:$C$28),"-")</f>
        <v>92.5</v>
      </c>
      <c r="D15" s="9">
        <f>IFERROR(AVERAGEIF(Scores!$A$6:$A$28,$A15,Scores!$D$6:$D$28),"-")</f>
        <v>83</v>
      </c>
      <c r="E15" s="9">
        <f>IFERROR(AVERAGEIF(Scores!$A$6:$A$28,$A15,Scores!$E$6:$E$28),"-")</f>
        <v>87.75</v>
      </c>
      <c r="F15" s="4" t="s">
        <v>65</v>
      </c>
    </row>
    <row r="16" spans="1:6" x14ac:dyDescent="0.35">
      <c r="A16" s="3" t="s">
        <v>66</v>
      </c>
      <c r="B16" s="3">
        <f>COUNTIF(Scores!$A$6:$A$28,A16)</f>
        <v>0</v>
      </c>
      <c r="C16" s="9" t="str">
        <f>IFERROR(AVERAGEIF(Scores!$A$6:$A$28,$A16,Scores!$C$6:$C$28),"-")</f>
        <v>-</v>
      </c>
      <c r="D16" s="9" t="str">
        <f>IFERROR(AVERAGEIF(Scores!$A$6:$A$28,$A16,Scores!$D$6:$D$28),"-")</f>
        <v>-</v>
      </c>
      <c r="E16" s="9" t="str">
        <f>IFERROR(AVERAGEIF(Scores!$A$6:$A$28,$A16,Scores!$E$6:$E$28),"-")</f>
        <v>-</v>
      </c>
      <c r="F16" s="4" t="s">
        <v>56</v>
      </c>
    </row>
    <row r="17" spans="1:5" x14ac:dyDescent="0.35">
      <c r="A17" s="7" t="s">
        <v>67</v>
      </c>
      <c r="B17" s="7">
        <f>COUNTA(Scores!$B$6:$B$28)</f>
        <v>23</v>
      </c>
      <c r="C17" s="6">
        <f>IFERROR(AVERAGE(Scores!$C$6:$C$28),"-")</f>
        <v>93.3125</v>
      </c>
      <c r="D17" s="6">
        <f>IFERROR(AVERAGE(Scores!$D$6:$D$28),"-")</f>
        <v>93.666666666666671</v>
      </c>
      <c r="E17" s="6">
        <f>IFERROR(AVERAGE(Scores!$E$6:$E$28),"-")</f>
        <v>93.861111111111114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Class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Allan Binu (Student)</cp:lastModifiedBy>
  <dcterms:created xsi:type="dcterms:W3CDTF">2026-07-21T01:35:31Z</dcterms:created>
  <dcterms:modified xsi:type="dcterms:W3CDTF">2026-07-21T02:53:02Z</dcterms:modified>
</cp:coreProperties>
</file>