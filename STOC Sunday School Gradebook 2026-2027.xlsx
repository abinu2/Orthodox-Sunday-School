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  <sheet name="Clas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Calibri"/>
      <b val="1"/>
      <color rgb="001F3864"/>
      <sz val="20"/>
    </font>
    <font>
      <name val="Calibri"/>
      <i val="1"/>
      <color rgb="00666666"/>
      <sz val="9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sz val="10"/>
    </font>
    <font>
      <name val="Calibri"/>
      <b val="1"/>
      <sz val="10"/>
    </font>
    <font>
      <name val="Calibri"/>
      <i val="1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D96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0" pivotButton="0" quotePrefix="0" xfId="0"/>
    <xf numFmtId="164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0" customWidth="1" min="4" max="4"/>
    <col width="10" customWidth="1" min="5" max="5"/>
    <col width="12" customWidth="1" min="6" max="6"/>
    <col width="28" customWidth="1" min="7" max="7"/>
  </cols>
  <sheetData>
    <row r="1">
      <c r="A1" s="1" t="inlineStr">
        <is>
          <t>Midterm &amp; Final Scores - 2026-2027</t>
        </is>
      </c>
    </row>
    <row r="3">
      <c r="A3" s="2" t="inlineStr">
        <is>
          <t>Enter scores (0-100) ONLY in the yellow Midterm / Final columns. Average and Letter Grade calculate automatically. Leave blank until graded.</t>
        </is>
      </c>
    </row>
    <row r="5">
      <c r="A5" s="3" t="inlineStr">
        <is>
          <t>Grade</t>
        </is>
      </c>
      <c r="B5" s="3" t="inlineStr">
        <is>
          <t>Student Name</t>
        </is>
      </c>
      <c r="C5" s="4" t="inlineStr">
        <is>
          <t>Midterm</t>
        </is>
      </c>
      <c r="D5" s="4" t="inlineStr">
        <is>
          <t>Final</t>
        </is>
      </c>
      <c r="E5" s="3" t="inlineStr">
        <is>
          <t>Average</t>
        </is>
      </c>
      <c r="F5" s="3" t="inlineStr">
        <is>
          <t>Letter Grade</t>
        </is>
      </c>
      <c r="G5" s="3" t="inlineStr">
        <is>
          <t>Notes</t>
        </is>
      </c>
    </row>
    <row r="6">
      <c r="A6" s="5" t="inlineStr">
        <is>
          <t>1st</t>
        </is>
      </c>
      <c r="B6" s="6" t="inlineStr">
        <is>
          <t>Ethan Renju George</t>
        </is>
      </c>
      <c r="C6" s="7" t="n"/>
      <c r="D6" s="7" t="n"/>
      <c r="E6" s="8">
        <f>IFERROR(AVERAGE(C6:D6),"")</f>
        <v/>
      </c>
      <c r="F6" s="9">
        <f>IF(E6="","",IF(E6&gt;=90,"A",IF(E6&gt;=80,"B",IF(E6&gt;=70,"C",IF(E6&gt;=60,"D","F")))))</f>
        <v/>
      </c>
      <c r="G6" s="6" t="n"/>
    </row>
    <row r="7">
      <c r="A7" s="5" t="inlineStr">
        <is>
          <t>1st</t>
        </is>
      </c>
      <c r="B7" s="6" t="inlineStr">
        <is>
          <t>Gia Ane Tom</t>
        </is>
      </c>
      <c r="C7" s="7" t="n"/>
      <c r="D7" s="7" t="n"/>
      <c r="E7" s="8">
        <f>IFERROR(AVERAGE(C7:D7),"")</f>
        <v/>
      </c>
      <c r="F7" s="9">
        <f>IF(E7="","",IF(E7&gt;=90,"A",IF(E7&gt;=80,"B",IF(E7&gt;=70,"C",IF(E7&gt;=60,"D","F")))))</f>
        <v/>
      </c>
      <c r="G7" s="6" t="n"/>
    </row>
    <row r="8">
      <c r="A8" s="5" t="inlineStr">
        <is>
          <t>2nd</t>
        </is>
      </c>
      <c r="B8" s="6" t="inlineStr">
        <is>
          <t>Evan Starly</t>
        </is>
      </c>
      <c r="C8" s="7" t="n"/>
      <c r="D8" s="7" t="n"/>
      <c r="E8" s="8">
        <f>IFERROR(AVERAGE(C8:D8),"")</f>
        <v/>
      </c>
      <c r="F8" s="9">
        <f>IF(E8="","",IF(E8&gt;=90,"A",IF(E8&gt;=80,"B",IF(E8&gt;=70,"C",IF(E8&gt;=60,"D","F")))))</f>
        <v/>
      </c>
      <c r="G8" s="6" t="n"/>
    </row>
    <row r="9">
      <c r="A9" s="5" t="inlineStr">
        <is>
          <t>2nd</t>
        </is>
      </c>
      <c r="B9" s="6" t="inlineStr">
        <is>
          <t>Evana Mathew</t>
        </is>
      </c>
      <c r="C9" s="7" t="n"/>
      <c r="D9" s="7" t="n"/>
      <c r="E9" s="8">
        <f>IFERROR(AVERAGE(C9:D9),"")</f>
        <v/>
      </c>
      <c r="F9" s="9">
        <f>IF(E9="","",IF(E9&gt;=90,"A",IF(E9&gt;=80,"B",IF(E9&gt;=70,"C",IF(E9&gt;=60,"D","F")))))</f>
        <v/>
      </c>
      <c r="G9" s="6" t="n"/>
    </row>
    <row r="10">
      <c r="A10" s="5" t="inlineStr">
        <is>
          <t>4th</t>
        </is>
      </c>
      <c r="B10" s="6" t="inlineStr">
        <is>
          <t>Eileen Mary Joe</t>
        </is>
      </c>
      <c r="C10" s="7" t="n"/>
      <c r="D10" s="7" t="n"/>
      <c r="E10" s="8">
        <f>IFERROR(AVERAGE(C10:D10),"")</f>
        <v/>
      </c>
      <c r="F10" s="9">
        <f>IF(E10="","",IF(E10&gt;=90,"A",IF(E10&gt;=80,"B",IF(E10&gt;=70,"C",IF(E10&gt;=60,"D","F")))))</f>
        <v/>
      </c>
      <c r="G10" s="6" t="n"/>
    </row>
    <row r="11">
      <c r="A11" s="5" t="inlineStr">
        <is>
          <t>4th</t>
        </is>
      </c>
      <c r="B11" s="6" t="inlineStr">
        <is>
          <t>Riyana Rince</t>
        </is>
      </c>
      <c r="C11" s="7" t="n"/>
      <c r="D11" s="7" t="n"/>
      <c r="E11" s="8">
        <f>IFERROR(AVERAGE(C11:D11),"")</f>
        <v/>
      </c>
      <c r="F11" s="9">
        <f>IF(E11="","",IF(E11&gt;=90,"A",IF(E11&gt;=80,"B",IF(E11&gt;=70,"C",IF(E11&gt;=60,"D","F")))))</f>
        <v/>
      </c>
      <c r="G11" s="6" t="n"/>
    </row>
    <row r="12">
      <c r="A12" s="5" t="inlineStr">
        <is>
          <t>5th</t>
        </is>
      </c>
      <c r="B12" s="6" t="inlineStr">
        <is>
          <t>Aaron Renju George</t>
        </is>
      </c>
      <c r="C12" s="7" t="n"/>
      <c r="D12" s="7" t="n"/>
      <c r="E12" s="8">
        <f>IFERROR(AVERAGE(C12:D12),"")</f>
        <v/>
      </c>
      <c r="F12" s="9">
        <f>IF(E12="","",IF(E12&gt;=90,"A",IF(E12&gt;=80,"B",IF(E12&gt;=70,"C",IF(E12&gt;=60,"D","F")))))</f>
        <v/>
      </c>
      <c r="G12" s="6" t="n"/>
    </row>
    <row r="13">
      <c r="A13" s="5" t="inlineStr">
        <is>
          <t>5th</t>
        </is>
      </c>
      <c r="B13" s="6" t="inlineStr">
        <is>
          <t>Ezekiel Abraham</t>
        </is>
      </c>
      <c r="C13" s="7" t="n"/>
      <c r="D13" s="7" t="n"/>
      <c r="E13" s="8">
        <f>IFERROR(AVERAGE(C13:D13),"")</f>
        <v/>
      </c>
      <c r="F13" s="9">
        <f>IF(E13="","",IF(E13&gt;=90,"A",IF(E13&gt;=80,"B",IF(E13&gt;=70,"C",IF(E13&gt;=60,"D","F")))))</f>
        <v/>
      </c>
      <c r="G13" s="6" t="n"/>
    </row>
    <row r="14">
      <c r="A14" s="5" t="inlineStr">
        <is>
          <t>6th</t>
        </is>
      </c>
      <c r="B14" s="6" t="inlineStr">
        <is>
          <t>Andrea George</t>
        </is>
      </c>
      <c r="C14" s="7" t="n"/>
      <c r="D14" s="7" t="n"/>
      <c r="E14" s="8">
        <f>IFERROR(AVERAGE(C14:D14),"")</f>
        <v/>
      </c>
      <c r="F14" s="9">
        <f>IF(E14="","",IF(E14&gt;=90,"A",IF(E14&gt;=80,"B",IF(E14&gt;=70,"C",IF(E14&gt;=60,"D","F")))))</f>
        <v/>
      </c>
      <c r="G14" s="6" t="n"/>
    </row>
    <row r="15">
      <c r="A15" s="5" t="inlineStr">
        <is>
          <t>6th</t>
        </is>
      </c>
      <c r="B15" s="6" t="inlineStr">
        <is>
          <t>Sarah Mathew</t>
        </is>
      </c>
      <c r="C15" s="7" t="n"/>
      <c r="D15" s="7" t="n"/>
      <c r="E15" s="8">
        <f>IFERROR(AVERAGE(C15:D15),"")</f>
        <v/>
      </c>
      <c r="F15" s="9">
        <f>IF(E15="","",IF(E15&gt;=90,"A",IF(E15&gt;=80,"B",IF(E15&gt;=70,"C",IF(E15&gt;=60,"D","F")))))</f>
        <v/>
      </c>
      <c r="G15" s="6" t="n"/>
    </row>
    <row r="16">
      <c r="A16" s="5" t="inlineStr">
        <is>
          <t>7th</t>
        </is>
      </c>
      <c r="B16" s="6" t="inlineStr">
        <is>
          <t>Benjamin Shino</t>
        </is>
      </c>
      <c r="C16" s="7" t="n"/>
      <c r="D16" s="7" t="n"/>
      <c r="E16" s="8">
        <f>IFERROR(AVERAGE(C16:D16),"")</f>
        <v/>
      </c>
      <c r="F16" s="9">
        <f>IF(E16="","",IF(E16&gt;=90,"A",IF(E16&gt;=80,"B",IF(E16&gt;=70,"C",IF(E16&gt;=60,"D","F")))))</f>
        <v/>
      </c>
      <c r="G16" s="6" t="n"/>
    </row>
    <row r="17">
      <c r="A17" s="5" t="inlineStr">
        <is>
          <t>7th</t>
        </is>
      </c>
      <c r="B17" s="6" t="inlineStr">
        <is>
          <t>Ethaniel Abraham</t>
        </is>
      </c>
      <c r="C17" s="7" t="n"/>
      <c r="D17" s="7" t="n"/>
      <c r="E17" s="8">
        <f>IFERROR(AVERAGE(C17:D17),"")</f>
        <v/>
      </c>
      <c r="F17" s="9">
        <f>IF(E17="","",IF(E17&gt;=90,"A",IF(E17&gt;=80,"B",IF(E17&gt;=70,"C",IF(E17&gt;=60,"D","F")))))</f>
        <v/>
      </c>
      <c r="G17" s="6" t="n"/>
    </row>
    <row r="18">
      <c r="A18" s="5" t="inlineStr">
        <is>
          <t>7th</t>
        </is>
      </c>
      <c r="B18" s="6" t="inlineStr">
        <is>
          <t>Joannah Vijay</t>
        </is>
      </c>
      <c r="C18" s="7" t="n"/>
      <c r="D18" s="7" t="n"/>
      <c r="E18" s="8">
        <f>IFERROR(AVERAGE(C18:D18),"")</f>
        <v/>
      </c>
      <c r="F18" s="9">
        <f>IF(E18="","",IF(E18&gt;=90,"A",IF(E18&gt;=80,"B",IF(E18&gt;=70,"C",IF(E18&gt;=60,"D","F")))))</f>
        <v/>
      </c>
      <c r="G18" s="6" t="n"/>
    </row>
    <row r="19">
      <c r="A19" s="5" t="inlineStr">
        <is>
          <t>8th</t>
        </is>
      </c>
      <c r="B19" s="6" t="inlineStr">
        <is>
          <t>Daniel Jacob</t>
        </is>
      </c>
      <c r="C19" s="7" t="n"/>
      <c r="D19" s="7" t="n"/>
      <c r="E19" s="8">
        <f>IFERROR(AVERAGE(C19:D19),"")</f>
        <v/>
      </c>
      <c r="F19" s="9">
        <f>IF(E19="","",IF(E19&gt;=90,"A",IF(E19&gt;=80,"B",IF(E19&gt;=70,"C",IF(E19&gt;=60,"D","F")))))</f>
        <v/>
      </c>
      <c r="G19" s="6" t="n"/>
    </row>
    <row r="20">
      <c r="A20" s="5" t="inlineStr">
        <is>
          <t>8th</t>
        </is>
      </c>
      <c r="B20" s="6" t="inlineStr">
        <is>
          <t>Ethan Starley</t>
        </is>
      </c>
      <c r="C20" s="7" t="n"/>
      <c r="D20" s="7" t="n"/>
      <c r="E20" s="8">
        <f>IFERROR(AVERAGE(C20:D20),"")</f>
        <v/>
      </c>
      <c r="F20" s="9">
        <f>IF(E20="","",IF(E20&gt;=90,"A",IF(E20&gt;=80,"B",IF(E20&gt;=70,"C",IF(E20&gt;=60,"D","F")))))</f>
        <v/>
      </c>
      <c r="G20" s="6" t="n"/>
    </row>
    <row r="21">
      <c r="A21" s="5" t="inlineStr">
        <is>
          <t>9th</t>
        </is>
      </c>
      <c r="B21" s="6" t="inlineStr">
        <is>
          <t>Eliath Abraham</t>
        </is>
      </c>
      <c r="C21" s="7" t="n"/>
      <c r="D21" s="7" t="n"/>
      <c r="E21" s="8">
        <f>IFERROR(AVERAGE(C21:D21),"")</f>
        <v/>
      </c>
      <c r="F21" s="9">
        <f>IF(E21="","",IF(E21&gt;=90,"A",IF(E21&gt;=80,"B",IF(E21&gt;=70,"C",IF(E21&gt;=60,"D","F")))))</f>
        <v/>
      </c>
      <c r="G21" s="6" t="n"/>
    </row>
    <row r="22">
      <c r="A22" s="5" t="inlineStr">
        <is>
          <t>9th</t>
        </is>
      </c>
      <c r="B22" s="6" t="inlineStr">
        <is>
          <t>Hannah Philip</t>
        </is>
      </c>
      <c r="C22" s="7" t="n"/>
      <c r="D22" s="7" t="n"/>
      <c r="E22" s="8">
        <f>IFERROR(AVERAGE(C22:D22),"")</f>
        <v/>
      </c>
      <c r="F22" s="9">
        <f>IF(E22="","",IF(E22&gt;=90,"A",IF(E22&gt;=80,"B",IF(E22&gt;=70,"C",IF(E22&gt;=60,"D","F")))))</f>
        <v/>
      </c>
      <c r="G22" s="6" t="n"/>
    </row>
    <row r="23">
      <c r="A23" s="5" t="inlineStr">
        <is>
          <t>9th</t>
        </is>
      </c>
      <c r="B23" s="6" t="inlineStr">
        <is>
          <t>Hannah Rince</t>
        </is>
      </c>
      <c r="C23" s="7" t="n"/>
      <c r="D23" s="7" t="n"/>
      <c r="E23" s="8">
        <f>IFERROR(AVERAGE(C23:D23),"")</f>
        <v/>
      </c>
      <c r="F23" s="9">
        <f>IF(E23="","",IF(E23&gt;=90,"A",IF(E23&gt;=80,"B",IF(E23&gt;=70,"C",IF(E23&gt;=60,"D","F")))))</f>
        <v/>
      </c>
      <c r="G23" s="6" t="n"/>
    </row>
    <row r="24">
      <c r="A24" s="5" t="inlineStr">
        <is>
          <t>10th</t>
        </is>
      </c>
      <c r="B24" s="6" t="inlineStr">
        <is>
          <t>Angel Abraham</t>
        </is>
      </c>
      <c r="C24" s="7" t="n"/>
      <c r="D24" s="7" t="n"/>
      <c r="E24" s="8">
        <f>IFERROR(AVERAGE(C24:D24),"")</f>
        <v/>
      </c>
      <c r="F24" s="9">
        <f>IF(E24="","",IF(E24&gt;=90,"A",IF(E24&gt;=80,"B",IF(E24&gt;=70,"C",IF(E24&gt;=60,"D","F")))))</f>
        <v/>
      </c>
      <c r="G24" s="6" t="n"/>
    </row>
    <row r="25">
      <c r="A25" s="5" t="inlineStr">
        <is>
          <t>10th</t>
        </is>
      </c>
      <c r="B25" s="6" t="inlineStr">
        <is>
          <t>Eleora Joe</t>
        </is>
      </c>
      <c r="C25" s="7" t="n"/>
      <c r="D25" s="7" t="n"/>
      <c r="E25" s="8">
        <f>IFERROR(AVERAGE(C25:D25),"")</f>
        <v/>
      </c>
      <c r="F25" s="9">
        <f>IF(E25="","",IF(E25&gt;=90,"A",IF(E25&gt;=80,"B",IF(E25&gt;=70,"C",IF(E25&gt;=60,"D","F")))))</f>
        <v/>
      </c>
      <c r="G25" s="6" t="n"/>
    </row>
    <row r="26">
      <c r="A26" s="5" t="inlineStr">
        <is>
          <t>11th</t>
        </is>
      </c>
      <c r="B26" s="6" t="inlineStr">
        <is>
          <t>Hannah Varghese</t>
        </is>
      </c>
      <c r="C26" s="7" t="n"/>
      <c r="D26" s="7" t="n"/>
      <c r="E26" s="8">
        <f>IFERROR(AVERAGE(C26:D26),"")</f>
        <v/>
      </c>
      <c r="F26" s="9">
        <f>IF(E26="","",IF(E26&gt;=90,"A",IF(E26&gt;=80,"B",IF(E26&gt;=70,"C",IF(E26&gt;=60,"D","F")))))</f>
        <v/>
      </c>
      <c r="G26" s="6" t="n"/>
    </row>
    <row r="27">
      <c r="A27" s="5" t="inlineStr">
        <is>
          <t>12th</t>
        </is>
      </c>
      <c r="B27" s="6" t="inlineStr">
        <is>
          <t>Abel Jacob</t>
        </is>
      </c>
      <c r="C27" s="7" t="n"/>
      <c r="D27" s="7" t="n"/>
      <c r="E27" s="8">
        <f>IFERROR(AVERAGE(C27:D27),"")</f>
        <v/>
      </c>
      <c r="F27" s="9">
        <f>IF(E27="","",IF(E27&gt;=90,"A",IF(E27&gt;=80,"B",IF(E27&gt;=70,"C",IF(E27&gt;=60,"D","F")))))</f>
        <v/>
      </c>
      <c r="G27" s="6" t="n"/>
    </row>
    <row r="28">
      <c r="A28" s="5" t="inlineStr">
        <is>
          <t>12th</t>
        </is>
      </c>
      <c r="B28" s="6" t="inlineStr">
        <is>
          <t>Jason Vijay</t>
        </is>
      </c>
      <c r="C28" s="7" t="n"/>
      <c r="D28" s="7" t="n"/>
      <c r="E28" s="8">
        <f>IFERROR(AVERAGE(C28:D28),"")</f>
        <v/>
      </c>
      <c r="F28" s="9">
        <f>IF(E28="","",IF(E28&gt;=90,"A",IF(E28&gt;=80,"B",IF(E28&gt;=70,"C",IF(E28&gt;=60,"D","F")))))</f>
        <v/>
      </c>
      <c r="G28" s="6" t="n"/>
    </row>
    <row r="30">
      <c r="A30" s="10" t="inlineStr">
        <is>
          <t>(Example)</t>
        </is>
      </c>
      <c r="B30" s="10" t="inlineStr">
        <is>
          <t>Sample Student</t>
        </is>
      </c>
      <c r="C30" s="10" t="n">
        <v>85</v>
      </c>
      <c r="D30" s="10" t="n">
        <v>92</v>
      </c>
      <c r="E30" s="10" t="n">
        <v>88.5</v>
      </c>
      <c r="F30" s="10" t="inlineStr">
        <is>
          <t>B</t>
        </is>
      </c>
      <c r="G30" s="10" t="inlineStr">
        <is>
          <t>shows expected format</t>
        </is>
      </c>
    </row>
  </sheetData>
  <mergeCells count="2">
    <mergeCell ref="A3:G3"/>
    <mergeCell ref="A1:G1"/>
  </mergeCells>
  <conditionalFormatting sqref="F6:F28">
    <cfRule type="cellIs" priority="1" operator="equal" dxfId="0">
      <formula>"F"</formula>
    </cfRule>
    <cfRule type="cellIs" priority="2" operator="equal" dxfId="1">
      <formula>"A"</formula>
    </cfRule>
  </conditionalFormatting>
  <dataValidations count="1">
    <dataValidation sqref="C6:D28" showDropDown="0" showInputMessage="0" showErrorMessage="0" allowBlank="1" errorTitle="Invalid score" error="Scores must be between 0 and 100." type="decimal" operator="between">
      <formula1>0</formula1>
      <formula2>100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2" customWidth="1" min="4" max="4"/>
    <col width="13" customWidth="1" min="5" max="5"/>
    <col width="20" customWidth="1" min="6" max="6"/>
  </cols>
  <sheetData>
    <row r="1">
      <c r="A1" s="1" t="inlineStr">
        <is>
          <t>Class Summary - 2026-2027</t>
        </is>
      </c>
    </row>
    <row r="3">
      <c r="A3" s="3" t="inlineStr">
        <is>
          <t>Grade</t>
        </is>
      </c>
      <c r="B3" s="3" t="inlineStr">
        <is>
          <t># Students</t>
        </is>
      </c>
      <c r="C3" s="3" t="inlineStr">
        <is>
          <t>Avg Midterm</t>
        </is>
      </c>
      <c r="D3" s="3" t="inlineStr">
        <is>
          <t>Avg Final</t>
        </is>
      </c>
      <c r="E3" s="3" t="inlineStr">
        <is>
          <t>Class Average</t>
        </is>
      </c>
      <c r="F3" s="3" t="inlineStr">
        <is>
          <t>Teacher</t>
        </is>
      </c>
    </row>
    <row r="4">
      <c r="A4" s="5" t="inlineStr">
        <is>
          <t>KG</t>
        </is>
      </c>
      <c r="B4" s="5">
        <f>COUNTIF(Scores!$A$6:$A$28,A4)</f>
        <v/>
      </c>
      <c r="C4" s="11">
        <f>IFERROR(AVERAGEIF(Scores!$A$6:$A$28,$A4,Scores!$C$6:$C$28),"-")</f>
        <v/>
      </c>
      <c r="D4" s="11">
        <f>IFERROR(AVERAGEIF(Scores!$A$6:$A$28,$A4,Scores!$D$6:$D$28),"-")</f>
        <v/>
      </c>
      <c r="E4" s="11">
        <f>IFERROR(AVERAGEIF(Scores!$A$6:$A$28,$A4,Scores!$E$6:$E$28),"-")</f>
        <v/>
      </c>
      <c r="F4" s="6" t="inlineStr">
        <is>
          <t>TBD</t>
        </is>
      </c>
    </row>
    <row r="5">
      <c r="A5" s="5" t="inlineStr">
        <is>
          <t>1st</t>
        </is>
      </c>
      <c r="B5" s="5">
        <f>COUNTIF(Scores!$A$6:$A$28,A5)</f>
        <v/>
      </c>
      <c r="C5" s="11">
        <f>IFERROR(AVERAGEIF(Scores!$A$6:$A$28,$A5,Scores!$C$6:$C$28),"-")</f>
        <v/>
      </c>
      <c r="D5" s="11">
        <f>IFERROR(AVERAGEIF(Scores!$A$6:$A$28,$A5,Scores!$D$6:$D$28),"-")</f>
        <v/>
      </c>
      <c r="E5" s="11">
        <f>IFERROR(AVERAGEIF(Scores!$A$6:$A$28,$A5,Scores!$E$6:$E$28),"-")</f>
        <v/>
      </c>
      <c r="F5" s="6" t="inlineStr">
        <is>
          <t>Helen Philip</t>
        </is>
      </c>
    </row>
    <row r="6">
      <c r="A6" s="5" t="inlineStr">
        <is>
          <t>2nd</t>
        </is>
      </c>
      <c r="B6" s="5">
        <f>COUNTIF(Scores!$A$6:$A$28,A6)</f>
        <v/>
      </c>
      <c r="C6" s="11">
        <f>IFERROR(AVERAGEIF(Scores!$A$6:$A$28,$A6,Scores!$C$6:$C$28),"-")</f>
        <v/>
      </c>
      <c r="D6" s="11">
        <f>IFERROR(AVERAGEIF(Scores!$A$6:$A$28,$A6,Scores!$D$6:$D$28),"-")</f>
        <v/>
      </c>
      <c r="E6" s="11">
        <f>IFERROR(AVERAGEIF(Scores!$A$6:$A$28,$A6,Scores!$E$6:$E$28),"-")</f>
        <v/>
      </c>
      <c r="F6" s="6" t="inlineStr">
        <is>
          <t>Mary Kaithakkal</t>
        </is>
      </c>
    </row>
    <row r="7">
      <c r="A7" s="5" t="inlineStr">
        <is>
          <t>3rd</t>
        </is>
      </c>
      <c r="B7" s="5">
        <f>COUNTIF(Scores!$A$6:$A$28,A7)</f>
        <v/>
      </c>
      <c r="C7" s="11">
        <f>IFERROR(AVERAGEIF(Scores!$A$6:$A$28,$A7,Scores!$C$6:$C$28),"-")</f>
        <v/>
      </c>
      <c r="D7" s="11">
        <f>IFERROR(AVERAGEIF(Scores!$A$6:$A$28,$A7,Scores!$D$6:$D$28),"-")</f>
        <v/>
      </c>
      <c r="E7" s="11">
        <f>IFERROR(AVERAGEIF(Scores!$A$6:$A$28,$A7,Scores!$E$6:$E$28),"-")</f>
        <v/>
      </c>
      <c r="F7" s="6" t="inlineStr">
        <is>
          <t>N/A</t>
        </is>
      </c>
    </row>
    <row r="8">
      <c r="A8" s="5" t="inlineStr">
        <is>
          <t>4th</t>
        </is>
      </c>
      <c r="B8" s="5">
        <f>COUNTIF(Scores!$A$6:$A$28,A8)</f>
        <v/>
      </c>
      <c r="C8" s="11">
        <f>IFERROR(AVERAGEIF(Scores!$A$6:$A$28,$A8,Scores!$C$6:$C$28),"-")</f>
        <v/>
      </c>
      <c r="D8" s="11">
        <f>IFERROR(AVERAGEIF(Scores!$A$6:$A$28,$A8,Scores!$D$6:$D$28),"-")</f>
        <v/>
      </c>
      <c r="E8" s="11">
        <f>IFERROR(AVERAGEIF(Scores!$A$6:$A$28,$A8,Scores!$E$6:$E$28),"-")</f>
        <v/>
      </c>
      <c r="F8" s="6" t="inlineStr">
        <is>
          <t>Vincy Punnoose</t>
        </is>
      </c>
    </row>
    <row r="9">
      <c r="A9" s="5" t="inlineStr">
        <is>
          <t>5th</t>
        </is>
      </c>
      <c r="B9" s="5">
        <f>COUNTIF(Scores!$A$6:$A$28,A9)</f>
        <v/>
      </c>
      <c r="C9" s="11">
        <f>IFERROR(AVERAGEIF(Scores!$A$6:$A$28,$A9,Scores!$C$6:$C$28),"-")</f>
        <v/>
      </c>
      <c r="D9" s="11">
        <f>IFERROR(AVERAGEIF(Scores!$A$6:$A$28,$A9,Scores!$D$6:$D$28),"-")</f>
        <v/>
      </c>
      <c r="E9" s="11">
        <f>IFERROR(AVERAGEIF(Scores!$A$6:$A$28,$A9,Scores!$E$6:$E$28),"-")</f>
        <v/>
      </c>
      <c r="F9" s="6" t="inlineStr">
        <is>
          <t>Austen Binu</t>
        </is>
      </c>
    </row>
    <row r="10">
      <c r="A10" s="5" t="inlineStr">
        <is>
          <t>6th</t>
        </is>
      </c>
      <c r="B10" s="5">
        <f>COUNTIF(Scores!$A$6:$A$28,A10)</f>
        <v/>
      </c>
      <c r="C10" s="11">
        <f>IFERROR(AVERAGEIF(Scores!$A$6:$A$28,$A10,Scores!$C$6:$C$28),"-")</f>
        <v/>
      </c>
      <c r="D10" s="11">
        <f>IFERROR(AVERAGEIF(Scores!$A$6:$A$28,$A10,Scores!$D$6:$D$28),"-")</f>
        <v/>
      </c>
      <c r="E10" s="11">
        <f>IFERROR(AVERAGEIF(Scores!$A$6:$A$28,$A10,Scores!$E$6:$E$28),"-")</f>
        <v/>
      </c>
      <c r="F10" s="6" t="inlineStr">
        <is>
          <t>Joel Jacob</t>
        </is>
      </c>
    </row>
    <row r="11">
      <c r="A11" s="5" t="inlineStr">
        <is>
          <t>7th</t>
        </is>
      </c>
      <c r="B11" s="5">
        <f>COUNTIF(Scores!$A$6:$A$28,A11)</f>
        <v/>
      </c>
      <c r="C11" s="11">
        <f>IFERROR(AVERAGEIF(Scores!$A$6:$A$28,$A11,Scores!$C$6:$C$28),"-")</f>
        <v/>
      </c>
      <c r="D11" s="11">
        <f>IFERROR(AVERAGEIF(Scores!$A$6:$A$28,$A11,Scores!$D$6:$D$28),"-")</f>
        <v/>
      </c>
      <c r="E11" s="11">
        <f>IFERROR(AVERAGEIF(Scores!$A$6:$A$28,$A11,Scores!$E$6:$E$28),"-")</f>
        <v/>
      </c>
      <c r="F11" s="6" t="inlineStr">
        <is>
          <t>Jovin James</t>
        </is>
      </c>
    </row>
    <row r="12">
      <c r="A12" s="5" t="inlineStr">
        <is>
          <t>8th</t>
        </is>
      </c>
      <c r="B12" s="5">
        <f>COUNTIF(Scores!$A$6:$A$28,A12)</f>
        <v/>
      </c>
      <c r="C12" s="11">
        <f>IFERROR(AVERAGEIF(Scores!$A$6:$A$28,$A12,Scores!$C$6:$C$28),"-")</f>
        <v/>
      </c>
      <c r="D12" s="11">
        <f>IFERROR(AVERAGEIF(Scores!$A$6:$A$28,$A12,Scores!$D$6:$D$28),"-")</f>
        <v/>
      </c>
      <c r="E12" s="11">
        <f>IFERROR(AVERAGEIF(Scores!$A$6:$A$28,$A12,Scores!$E$6:$E$28),"-")</f>
        <v/>
      </c>
      <c r="F12" s="6" t="inlineStr">
        <is>
          <t>Julie Shajan</t>
        </is>
      </c>
    </row>
    <row r="13">
      <c r="A13" s="5" t="inlineStr">
        <is>
          <t>9th</t>
        </is>
      </c>
      <c r="B13" s="5">
        <f>COUNTIF(Scores!$A$6:$A$28,A13)</f>
        <v/>
      </c>
      <c r="C13" s="11">
        <f>IFERROR(AVERAGEIF(Scores!$A$6:$A$28,$A13,Scores!$C$6:$C$28),"-")</f>
        <v/>
      </c>
      <c r="D13" s="11">
        <f>IFERROR(AVERAGEIF(Scores!$A$6:$A$28,$A13,Scores!$D$6:$D$28),"-")</f>
        <v/>
      </c>
      <c r="E13" s="11">
        <f>IFERROR(AVERAGEIF(Scores!$A$6:$A$28,$A13,Scores!$E$6:$E$28),"-")</f>
        <v/>
      </c>
      <c r="F13" s="6" t="inlineStr">
        <is>
          <t>Asha Phillip</t>
        </is>
      </c>
    </row>
    <row r="14">
      <c r="A14" s="5" t="inlineStr">
        <is>
          <t>10th</t>
        </is>
      </c>
      <c r="B14" s="5">
        <f>COUNTIF(Scores!$A$6:$A$28,A14)</f>
        <v/>
      </c>
      <c r="C14" s="11">
        <f>IFERROR(AVERAGEIF(Scores!$A$6:$A$28,$A14,Scores!$C$6:$C$28),"-")</f>
        <v/>
      </c>
      <c r="D14" s="11">
        <f>IFERROR(AVERAGEIF(Scores!$A$6:$A$28,$A14,Scores!$D$6:$D$28),"-")</f>
        <v/>
      </c>
      <c r="E14" s="11">
        <f>IFERROR(AVERAGEIF(Scores!$A$6:$A$28,$A14,Scores!$E$6:$E$28),"-")</f>
        <v/>
      </c>
      <c r="F14" s="6" t="inlineStr">
        <is>
          <t>Emily Jacob</t>
        </is>
      </c>
    </row>
    <row r="15">
      <c r="A15" s="5" t="inlineStr">
        <is>
          <t>11th</t>
        </is>
      </c>
      <c r="B15" s="5">
        <f>COUNTIF(Scores!$A$6:$A$28,A15)</f>
        <v/>
      </c>
      <c r="C15" s="11">
        <f>IFERROR(AVERAGEIF(Scores!$A$6:$A$28,$A15,Scores!$C$6:$C$28),"-")</f>
        <v/>
      </c>
      <c r="D15" s="11">
        <f>IFERROR(AVERAGEIF(Scores!$A$6:$A$28,$A15,Scores!$D$6:$D$28),"-")</f>
        <v/>
      </c>
      <c r="E15" s="11">
        <f>IFERROR(AVERAGEIF(Scores!$A$6:$A$28,$A15,Scores!$E$6:$E$28),"-")</f>
        <v/>
      </c>
      <c r="F15" s="6" t="inlineStr">
        <is>
          <t>Kripa Varghese</t>
        </is>
      </c>
    </row>
    <row r="16">
      <c r="A16" s="5" t="inlineStr">
        <is>
          <t>12th</t>
        </is>
      </c>
      <c r="B16" s="5">
        <f>COUNTIF(Scores!$A$6:$A$28,A16)</f>
        <v/>
      </c>
      <c r="C16" s="11">
        <f>IFERROR(AVERAGEIF(Scores!$A$6:$A$28,$A16,Scores!$C$6:$C$28),"-")</f>
        <v/>
      </c>
      <c r="D16" s="11">
        <f>IFERROR(AVERAGEIF(Scores!$A$6:$A$28,$A16,Scores!$D$6:$D$28),"-")</f>
        <v/>
      </c>
      <c r="E16" s="11">
        <f>IFERROR(AVERAGEIF(Scores!$A$6:$A$28,$A16,Scores!$E$6:$E$28),"-")</f>
        <v/>
      </c>
      <c r="F16" s="6" t="inlineStr">
        <is>
          <t>Joyce Varghese</t>
        </is>
      </c>
    </row>
    <row r="17">
      <c r="A17" s="9" t="inlineStr">
        <is>
          <t>ALL</t>
        </is>
      </c>
      <c r="B17" s="9">
        <f>COUNTA(Scores!$B$6:$B$28)</f>
        <v/>
      </c>
      <c r="C17" s="8">
        <f>IFERROR(AVERAGE(Scores!$C$6:$C$28),"-")</f>
        <v/>
      </c>
      <c r="D17" s="8">
        <f>IFERROR(AVERAGE(Scores!$D$6:$D$28),"-")</f>
        <v/>
      </c>
      <c r="E17" s="8">
        <f>IFERROR(AVERAGE(Scores!$E$6:$E$28),"-")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2026-07-21T01:32:55Z</dcterms:created>
  <dcterms:modified xsi:type="dcterms:W3CDTF">2026-07-21T01:32:55Z</dcterms:modified>
</cp:coreProperties>
</file>